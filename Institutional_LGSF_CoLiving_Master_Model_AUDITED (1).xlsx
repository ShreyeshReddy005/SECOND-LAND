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README — Assumptions &amp; Sources" sheetId="1" state="visible" r:id="rId1"/>
    <sheet xmlns:r="http://schemas.openxmlformats.org/officeDocument/2006/relationships" name="0. Executive Dashboard" sheetId="2" state="visible" r:id="rId2"/>
    <sheet xmlns:r="http://schemas.openxmlformats.org/officeDocument/2006/relationships" name="1. Space Program" sheetId="3" state="visible" r:id="rId3"/>
    <sheet xmlns:r="http://schemas.openxmlformats.org/officeDocument/2006/relationships" name="2. CPM Schedule &amp; CapEx" sheetId="4" state="visible" r:id="rId4"/>
    <sheet xmlns:r="http://schemas.openxmlformats.org/officeDocument/2006/relationships" name="3. Model 1 (In-House TDR)" sheetId="5" state="visible" r:id="rId5"/>
    <sheet xmlns:r="http://schemas.openxmlformats.org/officeDocument/2006/relationships" name="4. Model 2 (External TDR)" sheetId="6" state="visible" r:id="rId6"/>
    <sheet xmlns:r="http://schemas.openxmlformats.org/officeDocument/2006/relationships" name="5. Opportunity Cost"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4">
    <numFmt numFmtId="164" formatCode="\₹#,##0"/>
    <numFmt numFmtId="165" formatCode="0.0%"/>
    <numFmt numFmtId="166" formatCode="0.00\x"/>
    <numFmt numFmtId="167" formatCode="₹#,##0"/>
  </numFmts>
  <fonts count="33">
    <font>
      <name val="Calibri"/>
      <charset val="1"/>
      <family val="2"/>
      <color theme="1"/>
      <sz val="11"/>
    </font>
    <font>
      <name val="Arial"/>
      <family val="0"/>
      <sz val="10"/>
    </font>
    <font>
      <name val="Arial"/>
      <family val="0"/>
      <sz val="10"/>
    </font>
    <font>
      <name val="Arial"/>
      <family val="0"/>
      <sz val="10"/>
    </font>
    <font>
      <name val="Calibri"/>
      <charset val="1"/>
      <family val="0"/>
      <b val="1"/>
      <color rgb="FF0F2537"/>
      <sz val="16"/>
    </font>
    <font>
      <name val="Calibri"/>
      <charset val="1"/>
      <family val="0"/>
      <i val="1"/>
      <color rgb="FF44546A"/>
      <sz val="11"/>
    </font>
    <font>
      <name val="Calibri"/>
      <charset val="1"/>
      <family val="0"/>
      <b val="1"/>
      <color rgb="FF0F2537"/>
      <sz val="12"/>
    </font>
    <font>
      <name val="Calibri"/>
      <charset val="1"/>
      <family val="0"/>
      <color rgb="FF000000"/>
      <sz val="10"/>
    </font>
    <font>
      <name val="Calibri"/>
      <charset val="1"/>
      <family val="0"/>
      <i val="1"/>
      <color rgb="FF44546A"/>
      <sz val="10"/>
    </font>
    <font>
      <name val="Calibri"/>
      <charset val="1"/>
      <family val="0"/>
      <b val="1"/>
      <color rgb="FFFFFFFF"/>
      <sz val="10"/>
    </font>
    <font>
      <name val="Calibri"/>
      <charset val="1"/>
      <family val="2"/>
      <b val="1"/>
      <color rgb="FF0F2537"/>
      <sz val="16"/>
    </font>
    <font>
      <name val="Calibri"/>
      <charset val="1"/>
      <family val="2"/>
      <i val="1"/>
      <color rgb="FF5A6B7C"/>
      <sz val="10"/>
    </font>
    <font>
      <name val="Calibri"/>
      <charset val="1"/>
      <family val="2"/>
      <b val="1"/>
      <color rgb="FFFFFFFF"/>
      <sz val="11"/>
    </font>
    <font>
      <name val="Calibri"/>
      <charset val="1"/>
      <family val="2"/>
      <b val="1"/>
      <color rgb="FFFFFFFF"/>
      <sz val="10"/>
    </font>
    <font>
      <name val="Calibri"/>
      <charset val="1"/>
      <family val="2"/>
      <b val="1"/>
      <color theme="1"/>
      <sz val="10"/>
    </font>
    <font>
      <name val="Calibri"/>
      <charset val="1"/>
      <family val="2"/>
      <color theme="1"/>
      <sz val="10"/>
    </font>
    <font>
      <name val="Calibri"/>
      <charset val="1"/>
      <family val="2"/>
      <b val="1"/>
      <color rgb="FF0F2537"/>
      <sz val="10"/>
    </font>
    <font>
      <name val="Calibri"/>
      <charset val="1"/>
      <family val="0"/>
      <b val="1"/>
      <color rgb="FF000000"/>
      <sz val="10"/>
    </font>
    <font>
      <name val="Calibri"/>
      <charset val="1"/>
      <family val="0"/>
      <sz val="10"/>
    </font>
    <font>
      <name val="Calibri"/>
      <charset val="1"/>
      <family val="0"/>
      <i val="1"/>
      <color rgb="FF6B7280"/>
      <sz val="9"/>
    </font>
    <font>
      <name val="Arial"/>
      <family val="2"/>
      <sz val="10"/>
    </font>
    <font>
      <name val="Calibri"/>
      <family val="2"/>
      <b val="1"/>
      <color rgb="FF000000"/>
      <sz val="18"/>
    </font>
    <font>
      <name val="Calibri"/>
      <family val="2"/>
      <color rgb="FF000000"/>
      <sz val="10"/>
    </font>
    <font>
      <name val="Calibri"/>
      <charset val="1"/>
      <family val="2"/>
      <color theme="1"/>
      <sz val="9"/>
    </font>
    <font>
      <name val="Calibri"/>
      <charset val="1"/>
      <family val="0"/>
      <i val="1"/>
      <color rgb="FF6B7280"/>
      <sz val="10"/>
    </font>
    <font>
      <name val="Calibri"/>
      <charset val="1"/>
      <family val="0"/>
      <color rgb="FF000000"/>
      <sz val="9"/>
    </font>
    <font>
      <name val="Calibri"/>
      <charset val="1"/>
      <family val="0"/>
      <i val="1"/>
      <color rgb="FF6B7280"/>
      <sz val="8"/>
    </font>
    <font>
      <name val="Calibri"/>
      <b val="1"/>
      <color rgb="00FFFFFF"/>
      <sz val="9"/>
    </font>
    <font>
      <name val="Calibri"/>
      <color rgb="00000000"/>
      <sz val="9"/>
    </font>
    <font>
      <name val="Calibri"/>
      <b val="1"/>
      <color rgb="00000000"/>
      <sz val="9"/>
    </font>
    <font>
      <name val="Calibri"/>
      <b val="1"/>
      <color rgb="00000000"/>
      <sz val="10"/>
    </font>
    <font>
      <name val="Calibri"/>
      <i val="1"/>
      <color rgb="004A5158"/>
      <sz val="9"/>
    </font>
    <font>
      <name val="Calibri"/>
      <color rgb="00000000"/>
      <sz val="10"/>
    </font>
  </fonts>
  <fills count="12">
    <fill>
      <patternFill/>
    </fill>
    <fill>
      <patternFill patternType="gray125"/>
    </fill>
    <fill>
      <patternFill patternType="solid">
        <fgColor rgb="FFFFF2CC"/>
        <bgColor rgb="FFFCE4D6"/>
      </patternFill>
    </fill>
    <fill>
      <patternFill patternType="solid">
        <fgColor rgb="FFF2F4F8"/>
        <bgColor rgb="FFFFFFFF"/>
      </patternFill>
    </fill>
    <fill>
      <patternFill patternType="solid">
        <fgColor rgb="FFFCE4D6"/>
        <bgColor rgb="FFFFF2CC"/>
      </patternFill>
    </fill>
    <fill>
      <patternFill patternType="solid">
        <fgColor rgb="FFE2F0D9"/>
        <bgColor rgb="FFD9E1E8"/>
      </patternFill>
    </fill>
    <fill>
      <patternFill patternType="solid">
        <fgColor rgb="FF2C3E50"/>
        <bgColor rgb="FF44546A"/>
      </patternFill>
    </fill>
    <fill>
      <patternFill patternType="solid">
        <fgColor rgb="FF0F2537"/>
        <bgColor rgb="FF003300"/>
      </patternFill>
    </fill>
    <fill>
      <patternFill patternType="solid">
        <fgColor rgb="FFD9E1E8"/>
        <bgColor rgb="FFD9D9D9"/>
      </patternFill>
    </fill>
    <fill>
      <patternFill patternType="solid">
        <fgColor rgb="002C3E50"/>
      </patternFill>
    </fill>
    <fill>
      <patternFill patternType="solid">
        <fgColor rgb="00FFF2CC"/>
      </patternFill>
    </fill>
    <fill>
      <patternFill patternType="solid">
        <fgColor rgb="00F2F4F8"/>
      </patternFill>
    </fill>
  </fills>
  <borders count="7">
    <border>
      <left/>
      <right/>
      <top/>
      <bottom/>
      <diagonal/>
    </border>
    <border>
      <left style="thin">
        <color rgb="FFD0D5DD"/>
      </left>
      <right style="thin">
        <color rgb="FFD0D5DD"/>
      </right>
      <top style="thin">
        <color rgb="FFD0D5DD"/>
      </top>
      <bottom style="thin">
        <color rgb="FFD0D5DD"/>
      </bottom>
      <diagonal/>
    </border>
    <border>
      <left style="thin"/>
      <right style="thin"/>
      <top style="thin"/>
      <bottom style="thin"/>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9">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7" fillId="2" borderId="0" applyAlignment="1" pivotButton="0" quotePrefix="0" xfId="0">
      <alignment horizontal="general" vertical="bottom"/>
    </xf>
    <xf numFmtId="0" fontId="7" fillId="0" borderId="0" applyAlignment="1" pivotButton="0" quotePrefix="0" xfId="0">
      <alignment horizontal="general" vertical="bottom" wrapText="1"/>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xf numFmtId="0" fontId="8" fillId="0" borderId="0" applyAlignment="1" pivotButton="0" quotePrefix="0" xfId="0">
      <alignment horizontal="general" vertical="bottom" wrapText="1"/>
    </xf>
    <xf numFmtId="0" fontId="9" fillId="6" borderId="0" applyAlignment="1" pivotButton="0" quotePrefix="0" xfId="0">
      <alignment horizontal="general" vertical="bottom" wrapText="1"/>
    </xf>
    <xf numFmtId="0"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10" fillId="0" borderId="0" applyAlignment="1" pivotButton="0" quotePrefix="0" xfId="0">
      <alignment horizontal="general" vertical="center"/>
    </xf>
    <xf numFmtId="0" fontId="11" fillId="0" borderId="0" applyAlignment="1" pivotButton="0" quotePrefix="0" xfId="0">
      <alignment horizontal="general" vertical="bottom"/>
    </xf>
    <xf numFmtId="0" fontId="12" fillId="7" borderId="2" applyAlignment="1" pivotButton="0" quotePrefix="0" xfId="0">
      <alignment horizontal="left" vertical="center"/>
    </xf>
    <xf numFmtId="0" fontId="13" fillId="6" borderId="2" applyAlignment="1" pivotButton="0" quotePrefix="0" xfId="0">
      <alignment horizontal="center" vertical="center" wrapText="1"/>
    </xf>
    <xf numFmtId="0" fontId="14" fillId="0" borderId="2" applyAlignment="1" pivotButton="0" quotePrefix="0" xfId="0">
      <alignment horizontal="left" vertical="center"/>
    </xf>
    <xf numFmtId="164" fontId="14" fillId="3" borderId="2" applyAlignment="1" pivotButton="0" quotePrefix="0" xfId="0">
      <alignment horizontal="right" vertical="center"/>
    </xf>
    <xf numFmtId="0" fontId="15" fillId="0" borderId="2" applyAlignment="1" pivotButton="0" quotePrefix="0" xfId="0">
      <alignment horizontal="left" vertical="center"/>
    </xf>
    <xf numFmtId="164" fontId="15" fillId="0" borderId="2" applyAlignment="1" pivotButton="0" quotePrefix="0" xfId="0">
      <alignment horizontal="right" vertical="center"/>
    </xf>
    <xf numFmtId="164" fontId="16" fillId="8" borderId="2" applyAlignment="1" pivotButton="0" quotePrefix="0" xfId="0">
      <alignment horizontal="right" vertical="center"/>
    </xf>
    <xf numFmtId="165" fontId="14" fillId="3" borderId="2" applyAlignment="1" pivotButton="0" quotePrefix="0" xfId="0">
      <alignment horizontal="right" vertical="center"/>
    </xf>
    <xf numFmtId="2" fontId="14" fillId="3" borderId="2" applyAlignment="1" pivotButton="0" quotePrefix="0" xfId="0">
      <alignment horizontal="right" vertical="center"/>
    </xf>
    <xf numFmtId="2" fontId="15" fillId="0" borderId="2" applyAlignment="1" pivotButton="0" quotePrefix="0" xfId="0">
      <alignment horizontal="right" vertical="center"/>
    </xf>
    <xf numFmtId="164" fontId="17" fillId="3" borderId="2" applyAlignment="1" pivotButton="0" quotePrefix="0" xfId="0">
      <alignment horizontal="right" vertical="center"/>
    </xf>
    <xf numFmtId="0" fontId="9" fillId="6" borderId="0" applyAlignment="1" pivotButton="0" quotePrefix="0" xfId="0">
      <alignment horizontal="general" vertical="bottom"/>
    </xf>
    <xf numFmtId="0" fontId="18" fillId="0" borderId="0" applyAlignment="1" pivotButton="0" quotePrefix="0" xfId="0">
      <alignment horizontal="general" vertical="bottom"/>
    </xf>
    <xf numFmtId="166" fontId="17" fillId="3" borderId="0" applyAlignment="1" pivotButton="0" quotePrefix="0" xfId="0">
      <alignment horizontal="general" vertical="bottom"/>
    </xf>
    <xf numFmtId="0" fontId="19" fillId="0" borderId="0" applyAlignment="1" pivotButton="0" quotePrefix="0" xfId="0">
      <alignment horizontal="general" vertical="bottom"/>
    </xf>
    <xf numFmtId="0" fontId="17" fillId="3" borderId="0" applyAlignment="1" pivotButton="0" quotePrefix="0" xfId="0">
      <alignment horizontal="general" vertical="bottom"/>
    </xf>
    <xf numFmtId="165" fontId="17" fillId="3" borderId="0" applyAlignment="1" pivotButton="0" quotePrefix="0" xfId="0">
      <alignment horizontal="general" vertical="bottom"/>
    </xf>
    <xf numFmtId="3" fontId="15" fillId="2" borderId="2" applyAlignment="1" pivotButton="0" quotePrefix="0" xfId="0">
      <alignment horizontal="right" vertical="center"/>
    </xf>
    <xf numFmtId="0" fontId="15" fillId="0" borderId="2" applyAlignment="1" pivotButton="0" quotePrefix="0" xfId="0">
      <alignment horizontal="center" vertical="center"/>
    </xf>
    <xf numFmtId="3" fontId="14" fillId="3" borderId="2" applyAlignment="1" pivotButton="0" quotePrefix="0" xfId="0">
      <alignment horizontal="right" vertical="center"/>
    </xf>
    <xf numFmtId="0" fontId="9" fillId="6" borderId="0" applyAlignment="1" pivotButton="0" quotePrefix="0" xfId="0">
      <alignment horizontal="center" vertical="bottom" wrapText="1"/>
    </xf>
    <xf numFmtId="0" fontId="23" fillId="0" borderId="2" applyAlignment="1" pivotButton="0" quotePrefix="0" xfId="0">
      <alignment horizontal="left" vertical="center" wrapText="1"/>
    </xf>
    <xf numFmtId="3" fontId="17" fillId="3" borderId="2" applyAlignment="1" pivotButton="0" quotePrefix="0" xfId="0">
      <alignment horizontal="right" vertical="center"/>
    </xf>
    <xf numFmtId="164" fontId="15" fillId="2" borderId="2" applyAlignment="1" pivotButton="0" quotePrefix="0" xfId="0">
      <alignment horizontal="right" vertical="center"/>
    </xf>
    <xf numFmtId="1" fontId="7" fillId="2" borderId="0" applyAlignment="1" pivotButton="0" quotePrefix="0" xfId="0">
      <alignment horizontal="center" vertical="bottom"/>
    </xf>
    <xf numFmtId="0" fontId="16" fillId="8" borderId="2" applyAlignment="1" pivotButton="0" quotePrefix="0" xfId="0">
      <alignment horizontal="left" vertical="center"/>
    </xf>
    <xf numFmtId="3" fontId="15" fillId="0" borderId="2" applyAlignment="1" pivotButton="0" quotePrefix="0" xfId="0">
      <alignment horizontal="right" vertical="center"/>
    </xf>
    <xf numFmtId="165" fontId="15" fillId="0" borderId="2" applyAlignment="1" pivotButton="0" quotePrefix="0" xfId="0">
      <alignment horizontal="right" vertical="center"/>
    </xf>
    <xf numFmtId="165" fontId="15" fillId="2" borderId="2" applyAlignment="1" pivotButton="0" quotePrefix="0" xfId="0">
      <alignment horizontal="right" vertical="center"/>
    </xf>
    <xf numFmtId="166" fontId="17" fillId="3" borderId="2" applyAlignment="1" pivotButton="0" quotePrefix="0" xfId="0">
      <alignment horizontal="right" vertical="center"/>
    </xf>
    <xf numFmtId="164" fontId="17" fillId="3" borderId="0" applyAlignment="1" pivotButton="0" quotePrefix="0" xfId="0">
      <alignment horizontal="general" vertical="bottom"/>
    </xf>
    <xf numFmtId="0" fontId="0" fillId="0" borderId="0" applyAlignment="1" pivotButton="0" quotePrefix="0" xfId="0">
      <alignment horizontal="general" vertical="bottom"/>
    </xf>
    <xf numFmtId="164" fontId="24" fillId="3" borderId="2" applyAlignment="1" pivotButton="0" quotePrefix="0" xfId="0">
      <alignment horizontal="right" vertical="center"/>
    </xf>
    <xf numFmtId="165" fontId="17" fillId="3" borderId="2" applyAlignment="1" pivotButton="0" quotePrefix="0" xfId="0">
      <alignment horizontal="right" vertical="center"/>
    </xf>
    <xf numFmtId="0" fontId="25" fillId="3" borderId="0" applyAlignment="1" pivotButton="0" quotePrefix="0" xfId="0">
      <alignment horizontal="general" vertical="bottom"/>
    </xf>
    <xf numFmtId="164" fontId="25" fillId="3" borderId="0" applyAlignment="1" pivotButton="0" quotePrefix="0" xfId="0">
      <alignment horizontal="general" vertical="bottom"/>
    </xf>
    <xf numFmtId="165" fontId="25" fillId="3" borderId="0" applyAlignment="1" pivotButton="0" quotePrefix="0" xfId="0">
      <alignment horizontal="general" vertical="bottom"/>
    </xf>
    <xf numFmtId="0" fontId="2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7" fillId="2" borderId="0" applyAlignment="1" pivotButton="0" quotePrefix="0" xfId="0">
      <alignment horizontal="general" vertical="bottom"/>
    </xf>
    <xf numFmtId="0" fontId="7" fillId="0" borderId="0" applyAlignment="1" pivotButton="0" quotePrefix="0" xfId="0">
      <alignment horizontal="general" vertical="bottom" wrapText="1"/>
    </xf>
    <xf numFmtId="0" fontId="7" fillId="3" borderId="0" applyAlignment="1" pivotButton="0" quotePrefix="0" xfId="0">
      <alignment horizontal="general" vertical="bottom"/>
    </xf>
    <xf numFmtId="0" fontId="7" fillId="4" borderId="0" applyAlignment="1" pivotButton="0" quotePrefix="0" xfId="0">
      <alignment horizontal="general" vertical="bottom"/>
    </xf>
    <xf numFmtId="0" fontId="7" fillId="5" borderId="0" applyAlignment="1" pivotButton="0" quotePrefix="0" xfId="0">
      <alignment horizontal="general" vertical="bottom"/>
    </xf>
    <xf numFmtId="0" fontId="8" fillId="0" borderId="0" applyAlignment="1" pivotButton="0" quotePrefix="0" xfId="0">
      <alignment horizontal="general" vertical="bottom" wrapText="1"/>
    </xf>
    <xf numFmtId="0" fontId="9" fillId="6" borderId="0" applyAlignment="1" pivotButton="0" quotePrefix="0" xfId="0">
      <alignment horizontal="general" vertical="bottom" wrapText="1"/>
    </xf>
    <xf numFmtId="0" fontId="7" fillId="0" borderId="1" applyAlignment="1" pivotButton="0" quotePrefix="0" xfId="0">
      <alignment horizontal="general" vertical="top" wrapText="1"/>
    </xf>
    <xf numFmtId="0" fontId="7" fillId="4" borderId="1" applyAlignment="1" pivotButton="0" quotePrefix="0" xfId="0">
      <alignment horizontal="general" vertical="top" wrapText="1"/>
    </xf>
    <xf numFmtId="0" fontId="7" fillId="5" borderId="1" applyAlignment="1" pivotButton="0" quotePrefix="0" xfId="0">
      <alignment horizontal="general" vertical="top" wrapText="1"/>
    </xf>
    <xf numFmtId="0" fontId="10" fillId="0" borderId="0" applyAlignment="1" pivotButton="0" quotePrefix="0" xfId="0">
      <alignment horizontal="general" vertical="center"/>
    </xf>
    <xf numFmtId="0" fontId="11" fillId="0" borderId="0" applyAlignment="1" pivotButton="0" quotePrefix="0" xfId="0">
      <alignment horizontal="general" vertical="bottom"/>
    </xf>
    <xf numFmtId="0" fontId="12" fillId="7" borderId="2" applyAlignment="1" pivotButton="0" quotePrefix="0" xfId="0">
      <alignment horizontal="left" vertical="center"/>
    </xf>
    <xf numFmtId="0" fontId="0" fillId="0" borderId="5" pivotButton="0" quotePrefix="0" xfId="0"/>
    <xf numFmtId="0" fontId="0" fillId="0" borderId="6" pivotButton="0" quotePrefix="0" xfId="0"/>
    <xf numFmtId="0" fontId="13" fillId="6" borderId="2" applyAlignment="1" pivotButton="0" quotePrefix="0" xfId="0">
      <alignment horizontal="center" vertical="center" wrapText="1"/>
    </xf>
    <xf numFmtId="0" fontId="14" fillId="0" borderId="2" applyAlignment="1" pivotButton="0" quotePrefix="0" xfId="0">
      <alignment horizontal="left" vertical="center"/>
    </xf>
    <xf numFmtId="164" fontId="14" fillId="3" borderId="2" applyAlignment="1" pivotButton="0" quotePrefix="0" xfId="0">
      <alignment horizontal="right" vertical="center"/>
    </xf>
    <xf numFmtId="0" fontId="15" fillId="0" borderId="2" applyAlignment="1" pivotButton="0" quotePrefix="0" xfId="0">
      <alignment horizontal="left" vertical="center"/>
    </xf>
    <xf numFmtId="164" fontId="15" fillId="0" borderId="2" applyAlignment="1" pivotButton="0" quotePrefix="0" xfId="0">
      <alignment horizontal="right" vertical="center"/>
    </xf>
    <xf numFmtId="164" fontId="16" fillId="8" borderId="2" applyAlignment="1" pivotButton="0" quotePrefix="0" xfId="0">
      <alignment horizontal="right" vertical="center"/>
    </xf>
    <xf numFmtId="165" fontId="14" fillId="3" borderId="2" applyAlignment="1" pivotButton="0" quotePrefix="0" xfId="0">
      <alignment horizontal="right" vertical="center"/>
    </xf>
    <xf numFmtId="2" fontId="14" fillId="3" borderId="2" applyAlignment="1" pivotButton="0" quotePrefix="0" xfId="0">
      <alignment horizontal="right" vertical="center"/>
    </xf>
    <xf numFmtId="2" fontId="15" fillId="0" borderId="2" applyAlignment="1" pivotButton="0" quotePrefix="0" xfId="0">
      <alignment horizontal="right" vertical="center"/>
    </xf>
    <xf numFmtId="164" fontId="17" fillId="3" borderId="2" applyAlignment="1" pivotButton="0" quotePrefix="0" xfId="0">
      <alignment horizontal="right" vertical="center"/>
    </xf>
    <xf numFmtId="0" fontId="9" fillId="6" borderId="0" applyAlignment="1" pivotButton="0" quotePrefix="0" xfId="0">
      <alignment horizontal="general" vertical="bottom"/>
    </xf>
    <xf numFmtId="0" fontId="18" fillId="0" borderId="0" applyAlignment="1" pivotButton="0" quotePrefix="0" xfId="0">
      <alignment horizontal="general" vertical="bottom"/>
    </xf>
    <xf numFmtId="166" fontId="17" fillId="3" borderId="0" applyAlignment="1" pivotButton="0" quotePrefix="0" xfId="0">
      <alignment horizontal="general" vertical="bottom"/>
    </xf>
    <xf numFmtId="0" fontId="19" fillId="0" borderId="0" applyAlignment="1" pivotButton="0" quotePrefix="0" xfId="0">
      <alignment horizontal="general" vertical="bottom"/>
    </xf>
    <xf numFmtId="0" fontId="17" fillId="3" borderId="0" applyAlignment="1" pivotButton="0" quotePrefix="0" xfId="0">
      <alignment horizontal="general" vertical="bottom"/>
    </xf>
    <xf numFmtId="165" fontId="17" fillId="3" borderId="0" applyAlignment="1" pivotButton="0" quotePrefix="0" xfId="0">
      <alignment horizontal="general" vertical="bottom"/>
    </xf>
    <xf numFmtId="3" fontId="15" fillId="2" borderId="2" applyAlignment="1" pivotButton="0" quotePrefix="0" xfId="0">
      <alignment horizontal="right" vertical="center"/>
    </xf>
    <xf numFmtId="0" fontId="15" fillId="0" borderId="2" applyAlignment="1" pivotButton="0" quotePrefix="0" xfId="0">
      <alignment horizontal="center" vertical="center"/>
    </xf>
    <xf numFmtId="3" fontId="14" fillId="3" borderId="2" applyAlignment="1" pivotButton="0" quotePrefix="0" xfId="0">
      <alignment horizontal="right" vertical="center"/>
    </xf>
    <xf numFmtId="0" fontId="9" fillId="6" borderId="0" applyAlignment="1" pivotButton="0" quotePrefix="0" xfId="0">
      <alignment horizontal="center" vertical="bottom" wrapText="1"/>
    </xf>
    <xf numFmtId="0" fontId="23" fillId="0" borderId="2" applyAlignment="1" pivotButton="0" quotePrefix="0" xfId="0">
      <alignment horizontal="left" vertical="center" wrapText="1"/>
    </xf>
    <xf numFmtId="3" fontId="17" fillId="3" borderId="2" applyAlignment="1" pivotButton="0" quotePrefix="0" xfId="0">
      <alignment horizontal="right" vertical="center"/>
    </xf>
    <xf numFmtId="164" fontId="15" fillId="2" borderId="2" applyAlignment="1" pivotButton="0" quotePrefix="0" xfId="0">
      <alignment horizontal="right" vertical="center"/>
    </xf>
    <xf numFmtId="1" fontId="7" fillId="2" borderId="0" applyAlignment="1" pivotButton="0" quotePrefix="0" xfId="0">
      <alignment horizontal="center" vertical="bottom"/>
    </xf>
    <xf numFmtId="0" fontId="16" fillId="8" borderId="2" applyAlignment="1" pivotButton="0" quotePrefix="0" xfId="0">
      <alignment horizontal="left" vertical="center"/>
    </xf>
    <xf numFmtId="3" fontId="15" fillId="0" borderId="2" applyAlignment="1" pivotButton="0" quotePrefix="0" xfId="0">
      <alignment horizontal="right" vertical="center"/>
    </xf>
    <xf numFmtId="165" fontId="15" fillId="0" borderId="2" applyAlignment="1" pivotButton="0" quotePrefix="0" xfId="0">
      <alignment horizontal="right" vertical="center"/>
    </xf>
    <xf numFmtId="165" fontId="15" fillId="2" borderId="2" applyAlignment="1" pivotButton="0" quotePrefix="0" xfId="0">
      <alignment horizontal="right" vertical="center"/>
    </xf>
    <xf numFmtId="166" fontId="17" fillId="3" borderId="2" applyAlignment="1" pivotButton="0" quotePrefix="0" xfId="0">
      <alignment horizontal="right" vertical="center"/>
    </xf>
    <xf numFmtId="164" fontId="17" fillId="3" borderId="0" applyAlignment="1" pivotButton="0" quotePrefix="0" xfId="0">
      <alignment horizontal="general" vertical="bottom"/>
    </xf>
    <xf numFmtId="164" fontId="24" fillId="3" borderId="2" applyAlignment="1" pivotButton="0" quotePrefix="0" xfId="0">
      <alignment horizontal="right" vertical="center"/>
    </xf>
    <xf numFmtId="165" fontId="17" fillId="3" borderId="2" applyAlignment="1" pivotButton="0" quotePrefix="0" xfId="0">
      <alignment horizontal="right" vertical="center"/>
    </xf>
    <xf numFmtId="0" fontId="27" fillId="9" borderId="0" applyAlignment="1" pivotButton="0" quotePrefix="0" xfId="0">
      <alignment horizontal="center" wrapText="1"/>
    </xf>
    <xf numFmtId="0" fontId="29" fillId="11" borderId="0" applyAlignment="1" pivotButton="0" quotePrefix="0" xfId="0">
      <alignment horizontal="general" vertical="bottom"/>
    </xf>
    <xf numFmtId="0" fontId="25" fillId="3" borderId="0" applyAlignment="1" pivotButton="0" quotePrefix="0" xfId="0">
      <alignment horizontal="general" vertical="bottom"/>
    </xf>
    <xf numFmtId="167" fontId="25" fillId="3" borderId="0" applyAlignment="1" pivotButton="0" quotePrefix="0" xfId="0">
      <alignment horizontal="general" vertical="bottom"/>
    </xf>
    <xf numFmtId="165" fontId="25" fillId="3" borderId="0" applyAlignment="1" pivotButton="0" quotePrefix="0" xfId="0">
      <alignment horizontal="general" vertical="bottom"/>
    </xf>
    <xf numFmtId="167" fontId="28" fillId="10" borderId="0" pivotButton="0" quotePrefix="0" xfId="0"/>
    <xf numFmtId="9" fontId="28" fillId="10" borderId="0" pivotButton="0" quotePrefix="0" xfId="0"/>
    <xf numFmtId="0" fontId="26" fillId="0" borderId="0" applyAlignment="1" pivotButton="0" quotePrefix="0" xfId="0">
      <alignment horizontal="general" vertical="bottom"/>
    </xf>
    <xf numFmtId="164" fontId="30" fillId="11" borderId="2" applyAlignment="1" pivotButton="0" quotePrefix="0" xfId="0">
      <alignment horizontal="right" vertical="center"/>
    </xf>
    <xf numFmtId="0" fontId="31" fillId="0" borderId="0" pivotButton="0" quotePrefix="0" xfId="0"/>
    <xf numFmtId="9" fontId="32" fillId="10"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FF2CC"/>
      <rgbColor rgb="FFF2F4F8"/>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D9E1E8"/>
      <rgbColor rgb="FFE2F0D9"/>
      <rgbColor rgb="FFFFFF99"/>
      <rgbColor rgb="FF99CCFF"/>
      <rgbColor rgb="FFFF99CC"/>
      <rgbColor rgb="FFCC99FF"/>
      <rgbColor rgb="FFFCE4D6"/>
      <rgbColor rgb="FF3366FF"/>
      <rgbColor rgb="FF33CCCC"/>
      <rgbColor rgb="FF99CC00"/>
      <rgbColor rgb="FFFFCC00"/>
      <rgbColor rgb="FFFF9900"/>
      <rgbColor rgb="FFFF6600"/>
      <rgbColor rgb="FF5A6B7C"/>
      <rgbColor rgb="FFC5A059"/>
      <rgbColor rgb="FF0F2537"/>
      <rgbColor rgb="FF6B7280"/>
      <rgbColor rgb="FF003300"/>
      <rgbColor rgb="FF333300"/>
      <rgbColor rgb="FF993300"/>
      <rgbColor rgb="FF993366"/>
      <rgbColor rgb="FF44546A"/>
      <rgbColor rgb="FF2C3E5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800" b="1" strike="noStrike" spc="-1">
                <a:solidFill>
                  <a:srgbClr val="000000"/>
                </a:solidFill>
                <a:latin typeface="Calibri"/>
              </a:defRPr>
            </a:pPr>
            <a:r>
              <a:rPr lang="en-US" sz="1800" b="1" strike="noStrike" spc="-1">
                <a:solidFill>
                  <a:srgbClr val="000000"/>
                </a:solidFill>
                <a:latin typeface="Calibri"/>
              </a:rPr>
              <a:t>Capital Stack &amp; Funding Comparison</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"Model 1 (In-House TDR)"</f>
              <strCache>
                <ptCount val="1"/>
                <pt idx="0">
                  <v>Model 1 (In-House TDR)</v>
                </pt>
              </strCache>
            </strRef>
          </tx>
          <spPr>
            <a:solidFill xmlns:a="http://schemas.openxmlformats.org/drawingml/2006/main">
              <a:srgbClr val="0f2537"/>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0"/>
            <showVal val="0"/>
            <showCatName val="0"/>
            <showSerName val="0"/>
            <showPercent val="0"/>
            <showLeaderLines val="1"/>
          </dLbls>
          <cat>
            <strRef>
              <f>'0. Executive Dashboard'!$B$7:$B$10</f>
              <strCache>
                <ptCount val="4"/>
                <pt idx="0">
                  <v>Total Project CapEx (Turnkey)</v>
                </pt>
                <pt idx="1">
                  <v>External TDR Landed Cost</v>
                </pt>
                <pt idx="2">
                  <v>Senior Bank Debt Required (65% LTV)</v>
                </pt>
                <pt idx="3">
                  <v>Developer (GP) Equity Outflow (35%)</v>
                </pt>
              </strCache>
            </strRef>
          </cat>
          <val>
            <numRef>
              <f>'0. Executive Dashboard'!$C$7:$C$10</f>
              <numCache>
                <formatCode>\₹#,##0</formatCode>
                <ptCount val="4"/>
                <pt idx="0">
                  <v>97830000</v>
                </pt>
                <pt idx="1">
                  <v>0</v>
                </pt>
                <pt idx="2">
                  <v>63589500</v>
                </pt>
                <pt idx="3">
                  <v>34240500</v>
                </pt>
              </numCache>
            </numRef>
          </val>
        </ser>
        <ser>
          <idx val="1"/>
          <order val="1"/>
          <tx>
            <strRef>
              <f>"Model 2 (External TDR)"</f>
              <strCache>
                <ptCount val="1"/>
                <pt idx="0">
                  <v>Model 2 (External TDR)</v>
                </pt>
              </strCache>
            </strRef>
          </tx>
          <spPr>
            <a:solidFill xmlns:a="http://schemas.openxmlformats.org/drawingml/2006/main">
              <a:srgbClr val="c5a059"/>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outEnd"/>
            <showLegendKey val="0"/>
            <showVal val="0"/>
            <showCatName val="0"/>
            <showSerName val="0"/>
            <showPercent val="0"/>
            <showLeaderLines val="1"/>
          </dLbls>
          <cat>
            <strRef>
              <f>'0. Executive Dashboard'!$B$7:$B$10</f>
              <strCache>
                <ptCount val="4"/>
                <pt idx="0">
                  <v>Total Project CapEx (Turnkey)</v>
                </pt>
                <pt idx="1">
                  <v>External TDR Landed Cost</v>
                </pt>
                <pt idx="2">
                  <v>Senior Bank Debt Required (65% LTV)</v>
                </pt>
                <pt idx="3">
                  <v>Developer (GP) Equity Outflow (35%)</v>
                </pt>
              </strCache>
            </strRef>
          </cat>
          <val>
            <numRef>
              <f>'0. Executive Dashboard'!$D$7:$D$10</f>
              <numCache>
                <formatCode>\₹#,##0</formatCode>
                <ptCount val="4"/>
                <pt idx="0">
                  <v>102330000</v>
                </pt>
                <pt idx="1">
                  <v>4500000</v>
                </pt>
                <pt idx="2">
                  <v>66514500</v>
                </pt>
                <pt idx="3">
                  <v>35815500</v>
                </pt>
              </numCache>
            </numRef>
          </val>
        </ser>
        <gapWidth val="150"/>
        <overlap val="0"/>
        <axId val="37439361"/>
        <axId val="56874261"/>
      </barChart>
      <catAx>
        <axId val="37439361"/>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56874261"/>
        <crosses val="autoZero"/>
        <auto val="1"/>
        <lblAlgn val="ctr"/>
        <lblOffset val="100"/>
        <noMultiLvlLbl val="0"/>
      </catAx>
      <valAx>
        <axId val="56874261"/>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743936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800" b="1" strike="noStrike" spc="-1">
                <a:solidFill>
                  <a:srgbClr val="000000"/>
                </a:solidFill>
                <a:latin typeface="Calibri"/>
              </a:defRPr>
            </a:pPr>
            <a:r>
              <a:rPr lang="en-US" sz="1800" b="1" strike="noStrike" spc="-1">
                <a:solidFill>
                  <a:srgbClr val="000000"/>
                </a:solidFill>
                <a:latin typeface="Calibri"/>
              </a:rPr>
              <a:t>10-Year Net Operating Income (NOI) Trajectory</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"Model 1 NOI Growth"</f>
              <strCache>
                <ptCount val="1"/>
                <pt idx="0">
                  <v>Model 1 NOI Growth</v>
                </pt>
              </strCache>
            </strRef>
          </tx>
          <spPr>
            <a:solidFill xmlns:a="http://schemas.openxmlformats.org/drawingml/2006/main">
              <a:srgbClr val="0f2537"/>
            </a:solidFill>
            <a:ln xmlns:a="http://schemas.openxmlformats.org/drawingml/2006/main" w="31680">
              <a:solidFill>
                <a:srgbClr val="0f2537"/>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r"/>
            <showLegendKey val="0"/>
            <showVal val="0"/>
            <showCatName val="0"/>
            <showSerName val="0"/>
            <showPercent val="0"/>
            <showLeaderLines val="1"/>
          </dLbls>
          <cat>
            <multiLvlStrRef>
              <multiLvlStrCache>
                <lvl>
                  <pt idx="0">
                    <v>Year 10</v>
                  </pt>
                </lvl>
                <lvl>
                  <pt idx="0">
                    <v>Year 9</v>
                  </pt>
                </lvl>
                <lvl>
                  <pt idx="0">
                    <v>Year 8</v>
                  </pt>
                </lvl>
                <lvl>
                  <pt idx="0">
                    <v>Year 7</v>
                  </pt>
                </lvl>
                <lvl>
                  <pt idx="0">
                    <v>Year 6</v>
                  </pt>
                </lvl>
                <lvl>
                  <pt idx="0">
                    <v>Year 5</v>
                  </pt>
                </lvl>
                <lvl>
                  <pt idx="0">
                    <v>Year 4</v>
                  </pt>
                </lvl>
                <lvl>
                  <pt idx="0">
                    <v>Year 3</v>
                  </pt>
                </lvl>
                <lvl>
                  <pt idx="0">
                    <v>Year 2</v>
                  </pt>
                </lvl>
                <lvl>
                  <pt idx="0">
                    <v>Year 1</v>
                  </pt>
                </lvl>
              </multiLvlStrCache>
              <f>'3. Model 1 (In-House TDR)'!$D$20:$M$20</f>
            </multiLvlStrRef>
          </cat>
          <val>
            <numRef>
              <f>'3. Model 1 (In-House TDR)'!$D$25:$M$25</f>
              <numCache>
                <formatCode>\₹#,##0</formatCode>
                <ptCount val="10"/>
                <pt idx="0">
                  <v>10326528</v>
                </pt>
                <pt idx="1">
                  <v>11875507.2</v>
                </pt>
                <pt idx="2">
                  <v>12469282.56</v>
                </pt>
                <pt idx="3">
                  <v>12469282.56</v>
                </pt>
                <pt idx="4">
                  <v>13092746.688</v>
                </pt>
                <pt idx="5">
                  <v>13092746.688</v>
                </pt>
                <pt idx="6">
                  <v>13747384.0224</v>
                </pt>
                <pt idx="7">
                  <v>13747384.0224</v>
                </pt>
                <pt idx="8">
                  <v>14434753.22352</v>
                </pt>
                <pt idx="9">
                  <v>14434753.22352</v>
                </pt>
              </numCache>
            </numRef>
          </val>
          <smooth val="0"/>
        </ser>
        <ser>
          <idx val="1"/>
          <order val="1"/>
          <tx>
            <strRef>
              <f>"Model 2 NOI Growth"</f>
              <strCache>
                <ptCount val="1"/>
                <pt idx="0">
                  <v>Model 2 NOI Growth</v>
                </pt>
              </strCache>
            </strRef>
          </tx>
          <spPr>
            <a:solidFill xmlns:a="http://schemas.openxmlformats.org/drawingml/2006/main">
              <a:srgbClr val="c5a059"/>
            </a:solidFill>
            <a:ln xmlns:a="http://schemas.openxmlformats.org/drawingml/2006/main" w="31680">
              <a:solidFill>
                <a:srgbClr val="c5a059"/>
              </a:solidFill>
              <a:prstDash val="dash"/>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None</a:t>
                </a:r>
              </a:p>
            </txPr>
            <dLblPos val="r"/>
            <showLegendKey val="0"/>
            <showVal val="0"/>
            <showCatName val="0"/>
            <showSerName val="0"/>
            <showPercent val="0"/>
            <showLeaderLines val="1"/>
          </dLbls>
          <cat>
            <multiLvlStrRef>
              <multiLvlStrCache>
                <lvl>
                  <pt idx="0">
                    <v>Year 10</v>
                  </pt>
                </lvl>
                <lvl>
                  <pt idx="0">
                    <v>Year 9</v>
                  </pt>
                </lvl>
                <lvl>
                  <pt idx="0">
                    <v>Year 8</v>
                  </pt>
                </lvl>
                <lvl>
                  <pt idx="0">
                    <v>Year 7</v>
                  </pt>
                </lvl>
                <lvl>
                  <pt idx="0">
                    <v>Year 6</v>
                  </pt>
                </lvl>
                <lvl>
                  <pt idx="0">
                    <v>Year 5</v>
                  </pt>
                </lvl>
                <lvl>
                  <pt idx="0">
                    <v>Year 4</v>
                  </pt>
                </lvl>
                <lvl>
                  <pt idx="0">
                    <v>Year 3</v>
                  </pt>
                </lvl>
                <lvl>
                  <pt idx="0">
                    <v>Year 2</v>
                  </pt>
                </lvl>
                <lvl>
                  <pt idx="0">
                    <v>Year 1</v>
                  </pt>
                </lvl>
              </multiLvlStrCache>
              <f>'3. Model 1 (In-House TDR)'!$D$20:$M$20</f>
            </multiLvlStrRef>
          </cat>
          <val>
            <numRef>
              <f>'4. Model 2 (External TDR)'!$D$26:$M$26</f>
              <numCache>
                <formatCode>\₹#,##0</formatCode>
                <ptCount val="10"/>
                <pt idx="0">
                  <v>10326528</v>
                </pt>
                <pt idx="1">
                  <v>11875507.2</v>
                </pt>
                <pt idx="2">
                  <v>12469282.56</v>
                </pt>
                <pt idx="3">
                  <v>12469282.56</v>
                </pt>
                <pt idx="4">
                  <v>13092746.688</v>
                </pt>
                <pt idx="5">
                  <v>13092746.688</v>
                </pt>
                <pt idx="6">
                  <v>13747384.0224</v>
                </pt>
                <pt idx="7">
                  <v>13747384.0224</v>
                </pt>
                <pt idx="8">
                  <v>14434753.22352</v>
                </pt>
                <pt idx="9">
                  <v>14434753.22352</v>
                </pt>
              </numCache>
            </numRef>
          </val>
          <smooth val="0"/>
        </ser>
        <hiLowLines>
          <spPr>
            <a:ln xmlns:a="http://schemas.openxmlformats.org/drawingml/2006/main" w="0">
              <a:noFill/>
              <a:prstDash val="solid"/>
            </a:ln>
          </spPr>
        </hiLowLines>
        <marker val="0"/>
        <axId val="12415546"/>
        <axId val="90482589"/>
      </lineChart>
      <catAx>
        <axId val="12415546"/>
        <scaling>
          <orientation val="minMax"/>
        </scaling>
        <delete val="0"/>
        <axPos val="b"/>
        <numFmt formatCode="General"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90482589"/>
        <crosses val="autoZero"/>
        <auto val="1"/>
        <lblAlgn val="ctr"/>
        <lblOffset val="100"/>
        <noMultiLvlLbl val="0"/>
      </catAx>
      <valAx>
        <axId val="90482589"/>
        <scaling>
          <orientation val="minMax"/>
        </scaling>
        <delete val="0"/>
        <axPos val="l"/>
        <majorGridlines>
          <spPr>
            <a:ln xmlns:a="http://schemas.openxmlformats.org/drawingml/2006/main" w="9360">
              <a:solidFill>
                <a:srgbClr val="878787"/>
              </a:solidFill>
              <a:prstDash val="solid"/>
              <a:round/>
            </a:ln>
          </spPr>
        </majorGridlines>
        <numFmt formatCode="\₹#,##0" sourceLinked="0"/>
        <majorTickMark val="out"/>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12415546"/>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Unknown Author</author>
  </authors>
  <commentList>
    <comment ref="C17" authorId="0" shapeId="0">
      <text>
        <t>For internal consistency: under the JV structure the host has zero upfront cash extraction and zero maintenance drag (that trade-off is only modeled in the separate 3-way Opportunity Cost comparison on sheet 5). So 'Net Wealth Created' collapses to the 10-Year Cumulative Host Payout, which now already includes the host's share of Year-10 exit proceeds. The original Model 2 formula double-counted the exit value on top of the cumulative payout figure -- fixed.</t>
      </text>
    </comment>
  </commentList>
</comments>
</file>

<file path=xl/comments/comment2.xml><?xml version="1.0" encoding="utf-8"?>
<comments xmlns="http://schemas.openxmlformats.org/spreadsheetml/2006/main">
  <authors>
    <author>Unknown Author</author>
  </authors>
  <commentList>
    <comment ref="H16" authorId="0" shapeId="0">
      <text>
        <t>Beds-per-unit driver added during audit. The original file computed Total Beds with IF(B17="Type A: Single Micro-Studio Pod", ...) — a fragile pattern that silently breaks (returns wrong bed count with no error) if the typology label text is ever edited. This explicit numeric driver is a standard, auditable fix.</t>
      </text>
    </comment>
    <comment ref="G17" authorId="0" shapeId="0">
      <text>
        <t>REVISED from Rs.26,000 during audit. Hyderabad premium single-occupancy co-living tops out near Rs.20,000-22,000/bed/month (Housr HITEC City/Financial District listings; Zolo private rooms up to Rs.21,750). Rs.26,000 was not supportable against comparable listings checked Aug 2026. Sources: thehansindia.com (May 2025, Colliers data); zolostays.com; lbb.in.</t>
      </text>
    </comment>
    <comment ref="G18" authorId="0" shapeId="0">
      <text>
        <t>REVISED from Rs.16,500 during audit. Premium twin-sharing co-living in Hyderabad benchmarks near Rs.13,000-16,500/bed (LBB, SquareYards, Aug 2026 check). Rs.15,500 sits at the upper end, defensible for acoustically separated pods with full amenity stack — but should be re-validated against 2-3 live comparable operators (Housr, Stanza Living, Zolo) before final underwriting.</t>
      </text>
    </comment>
    <comment ref="G19" authorId="0" shapeId="0">
      <text>
        <t>REVISED from Rs.15,000 during audit. Comparable triple/quad-sharing co-living in Hyderabad runs roughly Rs.11,000-15,000/bed (LBB, Aug 2026 check). Rs.13,000 is a defensible premium-quad rate; validate against live comparables before underwriting.</t>
      </text>
    </comment>
  </commentList>
</comments>
</file>

<file path=xl/comments/comment3.xml><?xml version="1.0" encoding="utf-8"?>
<comments xmlns="http://schemas.openxmlformats.org/spreadsheetml/2006/main">
  <authors>
    <author>Unknown Author</author>
  </authors>
  <commentList>
    <comment ref="G18" authorId="0" shapeId="0">
      <text>
        <t>VALIDATED — LGSF structural framing quotes in India (IndiaMART supplier listings, 2025-26) cluster Rs.650-2,000/sq.ft depending on span, seismic zone and finish level; Rs.640/sq.ft sits at the efficient/high-volume end and is plausible for a repetitive 2-floor rooftop extension with a fixed factory-built module, but should be confirmed against a firm EPC quote.</t>
      </text>
    </comment>
  </commentList>
</comments>
</file>

<file path=xl/comments/comment4.xml><?xml version="1.0" encoding="utf-8"?>
<comments xmlns="http://schemas.openxmlformats.org/spreadsheetml/2006/main">
  <authors>
    <author>Unknown Author</author>
    <author>Model Audit -- Follow-up Fix</author>
  </authors>
  <commentList>
    <comment ref="C14" authorId="0" shapeId="0">
      <text>
        <t>VALIDATED — commercial/CRE property loan rates in India in 2026 span roughly 8.5%-15% p.a. across banks/NBFCs (HDFC 9.25-10.25%, SBI ~10%+, Bajaj Finance from 8%, general market 8.5-18%). 9.75% sits centrally in this range and is a reasonable planning rate for a priority-sector green/infill CRE facility, but is NOT a quoted term sheet — confirm with a lender before underwriting.</t>
      </text>
    </comment>
    <comment ref="B45" authorId="0" shapeId="0">
      <text>
        <t>Terminal value is now fed into the Year-10 Levered/Unlevered cash-flow rows (and therefore into every IRR, MOIC and waterfall figure below). In the original file this row was calculated but never actually used anywhere — every IRR/MOIC was a hold-period-only, no-exit number, while the Opportunity Cost tab silently assumed an exit was included. Fixed for consistency.</t>
      </text>
    </comment>
    <comment ref="C45" authorId="1" shapeId="0">
      <text>
        <t>FIXED: was '=(M25*1.05)/G16' -- the 5% growth bump was typed as a literal instead of referencing the escalation rate input (G14) already used everywhere else in this sheet. Now if G14 changes, this terminal value updates with it instead of silently going stale.</t>
      </text>
    </comment>
  </commentList>
</comments>
</file>

<file path=xl/comments/comment5.xml><?xml version="1.0" encoding="utf-8"?>
<comments xmlns="http://schemas.openxmlformats.org/spreadsheetml/2006/main">
  <authors>
    <author>Unknown Author</author>
    <author>Model Audit -- Follow-up Fix</author>
  </authors>
  <commentList>
    <comment ref="C7" authorId="0" shapeId="0">
      <text>
        <t>REVISED from Rs.1,200/sq.ft during audit — HIGH-RISK ASSUMPTION, PLEASE RE-VERIFY BEFORE USE. The only public Hyderabad TDR benchmark found (Mar 2026, myopenplots.com, citing GHMC TDR policy) puts the *price impact* of TDR loading in comparable West Hyderabad micro-markets (Kukatpally, Miyapur) at roughly Rs.90-140/sq.ft — an order of magnitude below the original Rs.1,200 figure, which could not be traced to any public GHMC TDR-cell rate, registered DRC (Development Rights Certificate) transaction, or TDR bank listing. Rs.150/sq.ft is set as a conservative mid-point above the cited range to allow for a scarcity/commercial-corridor premium, but this line item MUST be confirmed against actual registered DRC transactions via the GHMC TDR cell (tdr.ghmc.telangana.gov.in) before this model is used for underwriting. Because External-TDR-Purchase economics (Model 2) are highly sensitive to this single number, re-test this cell first if you revisit the model.</t>
      </text>
    </comment>
    <comment ref="C15" authorId="0" shapeId="0">
      <text>
        <t>VALIDATED — commercial/CRE property loan rates in India in 2026 span roughly 8.5%-15% p.a. across banks/NBFCs (HDFC 9.25-10.25%, SBI ~10%+, Bajaj Finance from 8%, general market 8.5-18%). 9.75% sits centrally in this range and is a reasonable planning rate for a priority-sector green/infill CRE facility, but is NOT a quoted term sheet — confirm with a lender before underwriting.</t>
      </text>
    </comment>
    <comment ref="B46" authorId="0" shapeId="0">
      <text>
        <t>Terminal value is now fed into the Year-10 Levered/Unlevered cash-flow rows (and therefore into every IRR, MOIC and waterfall figure below). In the original file this row was calculated but never actually used anywhere — every IRR/MOIC was a hold-period-only, no-exit number, while the Opportunity Cost tab silently assumed an exit was included. Fixed for consistency.</t>
      </text>
    </comment>
    <comment ref="C46" authorId="1" shapeId="0">
      <text>
        <t>FIXED: was '=(M26*1.05)/G16' -- same issue as Model 1 C45, same fix: reference the escalation input (G14) instead of a hardcoded 1.05.</t>
      </text>
    </comment>
  </commentList>
</comments>
</file>

<file path=xl/comments/comment6.xml><?xml version="1.0" encoding="utf-8"?>
<comments xmlns="http://schemas.openxmlformats.org/spreadsheetml/2006/main">
  <authors>
    <author>Model Audit -- Follow-up Fix</author>
    <author>Unknown Author</author>
  </authors>
  <commentList>
    <comment ref="G8" authorId="0" shapeId="0">
      <text>
        <t>FIXED: this 20% capital-gains/transaction tax rate used to be typed directly into D8's formula (=-D7*0.2), backed only by a matching number in the row's text label -- not a real input cell. It's now a labeled, editable input here; D8 references it.</t>
      </text>
    </comment>
    <comment ref="B12" authorId="1" shapeId="0">
      <text>
        <t>FIXED: the original file added Terminal Value * Host Share here on top of the 10-Year Cumulative Operating Cash Flow row above -- but once the engine fix feeds exit proceeds into the annual cash-flow/waterfall (Step 3 of this audit), the host's share of the exit is already inside the cumulative payout figure. Counting it again overstated total wealth by Rs.78.2mm. This row is now a memo (not summed) showing how much of the total above came from the terminal sale.</t>
      </text>
    </comment>
    <comment ref="P27" authorId="0" shapeId="0">
      <text>
        <t>FIXED during audit follow-up: rent and occupancy for each of the 25 scenarios were previously typed as literal numbers inside every one of the ~19 formula cells per row (roughly 475 embedded literals total across the engine). They are now each entered exactly once here, in a labeled input cell, and every formula in the row -- including the row's own label -- references these two cells. Change a rent or occupancy assumption in exactly one place; every downstream cell recalculates from it.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editAs="oneCell">
    <from>
      <col>6</col>
      <colOff>0</colOff>
      <row>4</row>
      <rowOff>0</rowOff>
    </from>
    <to>
      <col>13</col>
      <colOff>304560</colOff>
      <row>18</row>
      <rowOff>180720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17</row>
      <rowOff>0</rowOff>
    </from>
    <to>
      <col>13</col>
      <colOff>304560</colOff>
      <row>31</row>
      <rowOff>171000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filterMode="0">
    <outlinePr summaryBelow="1" summaryRight="1"/>
    <pageSetUpPr fitToPage="0"/>
  </sheetPr>
  <dimension ref="B2:F42"/>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3" customWidth="1" style="55" min="1" max="1"/>
    <col width="34" customWidth="1" style="55" min="2" max="2"/>
    <col width="14" customWidth="1" style="55" min="3" max="3"/>
    <col width="46" customWidth="1" style="55" min="4" max="4"/>
    <col width="16" customWidth="1" style="55" min="5" max="5"/>
    <col width="30" customWidth="1" style="55" min="6" max="6"/>
    <col width="4" customWidth="1" style="55" min="7" max="7"/>
  </cols>
  <sheetData>
    <row r="2" ht="19.7" customHeight="1" s="56">
      <c r="B2" s="57" t="inlineStr">
        <is>
          <t>MODEL AUDIT — READ ME, ASSUMPTIONS &amp; SOURCES</t>
        </is>
      </c>
    </row>
    <row r="3" ht="15" customHeight="1" s="56">
      <c r="B3" s="58" t="inlineStr">
        <is>
          <t>Adaptive Vertical Densification: Rooftop Co-Living Extension | Hyderabad | Audited Aug 2026</t>
        </is>
      </c>
    </row>
    <row r="5" ht="15" customHeight="1" s="56">
      <c r="B5" s="59" t="inlineStr">
        <is>
          <t>1. WHAT THIS AUDIT CHANGED</t>
        </is>
      </c>
    </row>
    <row r="6" ht="45.75" customHeight="1" s="56">
      <c r="B6" s="60" t="inlineStr">
        <is>
          <t>•  Levered cash flow to equity was ADDING the loan payment to NOI instead of subtracting it (=NOI+DebtService instead of NOI-DebtService). This single error inflated every levered return metric in the file — Levered Project IRR, Developer Equity IRR, MOIC, and 10-year Host Payout all flowed from it. Fixed in both Model 1 and Model 2.</t>
        </is>
      </c>
    </row>
    <row r="7" ht="45.75" customHeight="1" s="56">
      <c r="B7" s="60" t="inlineStr">
        <is>
          <t>•  The 10-year loan amortization schedule had two compounding sign errors that made the outstanding loan balance GROW every year instead of paying down (Rs.63.6mm growing to Rs.291mm by Year 10, instead of amortizing to a lower balance). Rebuilt with a consistent, correct sign convention — balance now pays down normally.</t>
        </is>
      </c>
    </row>
    <row r="8" ht="45.75" customHeight="1" s="56">
      <c r="B8" s="60" t="inlineStr">
        <is>
          <t>•  DSCR (debt service coverage ratio) was computed as NOI / a negative number, producing impossible negative DSCR values (e.g. -1.58x) even though NOI safely covered debt service. Fixed — DSCR now correctly reads ~1.2x-1.8x, rising as the loan amortizes.</t>
        </is>
      </c>
    </row>
    <row r="9" ht="45.75" customHeight="1" s="56">
      <c r="B9" s="60" t="inlineStr">
        <is>
          <t>•  The model calculated a Year-10 exit/terminal value but never actually fed it into any IRR, MOIC, or cash-flow calculation — all return metrics were hold-period-only with no assumed exit, while the Opportunity Cost tab silently assumed an exit was already included. Fixed: Year-10 cash flows now include net-of-debt sale proceeds (levered) / gross sale proceeds (unlevered), split through the same JV waterfall as operating cash flow.</t>
        </is>
      </c>
    </row>
    <row r="10" ht="45.75" customHeight="1" s="56">
      <c r="B10" s="60" t="inlineStr">
        <is>
          <t>•  The Opportunity Cost tab was double-counting terminal value once the above fix was applied (added again on top of the now-inclusive cumulative cash flow row). Fixed — that value is now a memo line only.</t>
        </is>
      </c>
    </row>
    <row r="11" ht="45.75" customHeight="1" s="56">
      <c r="B11" s="60" t="inlineStr">
        <is>
          <t>•  The Executive Dashboard's Model 2 'Host Wealth Created' cell used an ad hoc formula that also double-counted terminal value. Fixed to reference the (now correct) cumulative payout.</t>
        </is>
      </c>
    </row>
    <row r="12" ht="45.75" customHeight="1" s="56">
      <c r="B12" s="60" t="inlineStr">
        <is>
          <t>•  The 2-way rent/occupancy sensitivity grid scaled a single base-case IRR proportionally by revenue ratios — mathematically invalid, since OpEx and debt service are not proportional to revenue. Rebuilt as 25 fully reconstructed 10-year cash-flow chains, each run through IRR() independently (see sheet 5, section 5.3).</t>
        </is>
      </c>
    </row>
    <row r="13" ht="45.75" customHeight="1" s="56">
      <c r="B13" s="60" t="inlineStr">
        <is>
          <t>•  Total Beds in the Space Program used a fragile IF() that matched on the literal typology name text — silently wrong if anyone edited a label. Replaced with an explicit, auditable 'Beds / Unit' input column.</t>
        </is>
      </c>
    </row>
    <row r="14" ht="45.75" customHeight="1" s="56">
      <c r="B14" s="60" t="inlineStr">
        <is>
          <t>•  Bed rents and the external TDR market rate were checked against public Hyderabad listings (Aug 2026). Two were revised — see section 3 below — because they weren't supportable against comparable market data.</t>
        </is>
      </c>
    </row>
    <row r="16" ht="15" customHeight="1" s="56">
      <c r="B16" s="59" t="inlineStr">
        <is>
          <t>2. HOW TO READ THE MODEL</t>
        </is>
      </c>
    </row>
    <row r="17" ht="15" customHeight="1" s="56">
      <c r="B17" s="61" t="inlineStr">
        <is>
          <t>Yellow fill</t>
        </is>
      </c>
      <c r="C17" s="62" t="inlineStr">
        <is>
          <t>Hardcoded input — change these to stress-test the model.</t>
        </is>
      </c>
    </row>
    <row r="18" ht="15" customHeight="1" s="56">
      <c r="B18" s="63" t="inlineStr">
        <is>
          <t>Light-grey fill, bold text</t>
        </is>
      </c>
      <c r="C18" s="62" t="inlineStr">
        <is>
          <t>Formula / calculated cell — do not hardcode over these.</t>
        </is>
      </c>
    </row>
    <row r="19" ht="15" customHeight="1" s="56">
      <c r="B19" s="64" t="inlineStr">
        <is>
          <t>Amber fill (this sheet only)</t>
        </is>
      </c>
      <c r="C19" s="62" t="inlineStr">
        <is>
          <t>High-risk / unverified assumption — confirm before underwriting.</t>
        </is>
      </c>
    </row>
    <row r="20" ht="15" customHeight="1" s="56">
      <c r="B20" s="65" t="inlineStr">
        <is>
          <t>Green fill (this sheet only)</t>
        </is>
      </c>
      <c r="C20" s="62" t="inlineStr">
        <is>
          <t>Assumption checked against public market data, Aug 2026.</t>
        </is>
      </c>
    </row>
    <row r="22" ht="45.75" customHeight="1" s="56">
      <c r="B22" s="66" t="inlineStr">
        <is>
          <t>Sheet flow: 1) Space Program sets areas/unit mix/beds → 2) CPM &amp; CapEx builds the construction budget from those areas → 3) &amp; 4) Model 1 / Model 2 each take the CapEx total and run a full capital stack, 10-yr cash flow, JV waterfall, amortization schedule and return metrics → 5) Opportunity Cost compares the host's options and stress-tests rent/occupancy → 0) Dashboard summarizes both models side by side with sanity checks.</t>
        </is>
      </c>
    </row>
    <row r="24" ht="15" customHeight="1" s="56">
      <c r="B24" s="59" t="inlineStr">
        <is>
          <t>3. KEY MARKET ASSUMPTIONS — WHAT WE CHECKED, AND AGAINST WHAT</t>
        </is>
      </c>
    </row>
    <row r="25" ht="15" customHeight="1" s="56">
      <c r="B25" s="67" t="inlineStr">
        <is>
          <t>Assumption</t>
        </is>
      </c>
      <c r="C25" s="67" t="inlineStr">
        <is>
          <t>Value Used</t>
        </is>
      </c>
      <c r="D25" s="67" t="inlineStr">
        <is>
          <t>Basis / Source (checked Aug 2026)</t>
        </is>
      </c>
      <c r="E25" s="67" t="inlineStr">
        <is>
          <t>Status</t>
        </is>
      </c>
    </row>
    <row r="26" ht="60" customHeight="1" s="56">
      <c r="B26" s="68" t="inlineStr">
        <is>
          <t>Type A rent (single micro-studio)</t>
        </is>
      </c>
      <c r="C26" s="68" t="inlineStr">
        <is>
          <t>Rs.22,000/bed/mo</t>
        </is>
      </c>
      <c r="D26" s="68" t="inlineStr">
        <is>
          <t>Revised down from Rs.26,000. Premium single-occupancy co-living in Hyderabad (HITEC City / Financial District) tops out ~Rs.20,000-22,000 (Housr, Zolo listings; Hans India/Colliers, May 2025).</t>
        </is>
      </c>
      <c r="E26" s="69" t="inlineStr">
        <is>
          <t>REVISED</t>
        </is>
      </c>
    </row>
    <row r="27" ht="60" customHeight="1" s="56">
      <c r="B27" s="68" t="inlineStr">
        <is>
          <t>Type B rent (twin sharing)</t>
        </is>
      </c>
      <c r="C27" s="68" t="inlineStr">
        <is>
          <t>Rs.15,500/bed/mo</t>
        </is>
      </c>
      <c r="D27" s="68" t="inlineStr">
        <is>
          <t>Revised down from Rs.16,500. Premium twin-sharing benchmarks ~Rs.13,000-16,500 (LBB, SquareYards listings, checked Aug 2026). Sits at the upper end — re-validate against 2-3 live comparables before underwriting.</t>
        </is>
      </c>
      <c r="E27" s="69" t="inlineStr">
        <is>
          <t>REVISED</t>
        </is>
      </c>
    </row>
    <row r="28" ht="60" customHeight="1" s="56">
      <c r="B28" s="68" t="inlineStr">
        <is>
          <t>Type C rent (quad suite)</t>
        </is>
      </c>
      <c r="C28" s="68" t="inlineStr">
        <is>
          <t>Rs.13,000/bed/mo</t>
        </is>
      </c>
      <c r="D28" s="68" t="inlineStr">
        <is>
          <t>Revised down from Rs.15,000. Comparable triple/quad-sharing runs ~Rs.11,000-15,000 (LBB, checked Aug 2026).</t>
        </is>
      </c>
      <c r="E28" s="69" t="inlineStr">
        <is>
          <t>REVISED</t>
        </is>
      </c>
    </row>
    <row r="29" ht="60" customHeight="1" s="56">
      <c r="B29" s="68" t="inlineStr">
        <is>
          <t>External TDR market rate</t>
        </is>
      </c>
      <c r="C29" s="68" t="inlineStr">
        <is>
          <t>Rs.150/sq.ft BUA</t>
        </is>
      </c>
      <c r="D29" s="68" t="inlineStr">
        <is>
          <t>Revised down from Rs.1,200 — HIGH RISK, RE-VERIFY. Only public benchmark found (myopenplots.com, Mar 2026) puts TDR price impact in comparable West Hyderabad micro-markets at Rs.90-140/sq.ft, an order of magnitude below the original figure, which could not be traced to any GHMC TDR-cell rate or registered DRC transaction. Confirm via tdr.ghmc.telangana.gov.in before relying on Model 2.</t>
        </is>
      </c>
      <c r="E29" s="69" t="inlineStr">
        <is>
          <t>HIGH RISK — VERIFY</t>
        </is>
      </c>
    </row>
    <row r="30" ht="60" customHeight="1" s="56">
      <c r="B30" s="68" t="inlineStr">
        <is>
          <t>LGSF structural framing cost</t>
        </is>
      </c>
      <c r="C30" s="68" t="inlineStr">
        <is>
          <t>Rs.640/sq.ft</t>
        </is>
      </c>
      <c r="D30" s="68" t="inlineStr">
        <is>
          <t>Validated. India supplier quotes (IndiaMART, 2025-26) cluster Rs.650-2,000/sq.ft depending on span/finish; Rs.640 sits at the efficient/high-volume end — plausible for a repetitive factory-built module but confirm with a firm EPC quote.</t>
        </is>
      </c>
      <c r="E30" s="70" t="inlineStr">
        <is>
          <t>VALIDATED (RANGE)</t>
        </is>
      </c>
    </row>
    <row r="31" ht="60" customHeight="1" s="56">
      <c r="B31" s="68" t="inlineStr">
        <is>
          <t>Senior debt interest rate</t>
        </is>
      </c>
      <c r="C31" s="68" t="inlineStr">
        <is>
          <t>9.75% p.a.</t>
        </is>
      </c>
      <c r="D31" s="68" t="inlineStr">
        <is>
          <t>Validated. Indian commercial/CRE property loan rates in 2026 span ~8.5%-15% (HDFC 9.25-10.25%, SBI ~10%+, Bajaj Finance from 8%). 9.75% sits centrally — reasonable planning rate, but not a quoted term sheet.</t>
        </is>
      </c>
      <c r="E31" s="70" t="inlineStr">
        <is>
          <t>VALIDATED (RANGE)</t>
        </is>
      </c>
    </row>
    <row r="32" ht="60" customHeight="1" s="56">
      <c r="B32" s="68" t="inlineStr">
        <is>
          <t>Senior debt LTV</t>
        </is>
      </c>
      <c r="C32" s="68" t="inlineStr">
        <is>
          <t>65%</t>
        </is>
      </c>
      <c r="D32" s="68" t="inlineStr">
        <is>
          <t>Standard institutional CRE construction-facility leverage in India (typically 60-70% LTC for income-producing assets with a credible sponsor).</t>
        </is>
      </c>
      <c r="E32" s="70" t="inlineStr">
        <is>
          <t>REASONABLE</t>
        </is>
      </c>
    </row>
    <row r="33" ht="60" customHeight="1" s="56">
      <c r="B33" s="68" t="inlineStr">
        <is>
          <t>Exit / terminal capitalization rate</t>
        </is>
      </c>
      <c r="C33" s="68" t="inlineStr">
        <is>
          <t>8.50%</t>
        </is>
      </c>
      <c r="D33" s="68" t="inlineStr">
        <is>
          <t>Broadly consistent with cap rates quoted for stabilized, professionally managed rental residential / co-living assets in India (commonly cited 7.5%-9.5% range). Not project-specific — commission a third-party appraisal before exit.</t>
        </is>
      </c>
      <c r="E33" s="70" t="inlineStr">
        <is>
          <t>REASONABLE</t>
        </is>
      </c>
    </row>
    <row r="34" ht="60" customHeight="1" s="56">
      <c r="B34" s="68" t="inlineStr">
        <is>
          <t>Operating expense ratio</t>
        </is>
      </c>
      <c r="C34" s="68" t="inlineStr">
        <is>
          <t>28% of EGR</t>
        </is>
      </c>
      <c r="D34" s="68" t="inlineStr">
        <is>
          <t>On the efficient/optimistic end for a full-service, furniture+F&amp;B-adjacent co-living operation; comparable managed operators often run 30-40% of revenue. Kept as an editable input — flagged for validation against operator P&amp;Ls (Zolo/Stanza Living/Colive) before underwriting.</t>
        </is>
      </c>
      <c r="E34" s="69" t="inlineStr">
        <is>
          <t>FLAGGED — VALIDATE</t>
        </is>
      </c>
    </row>
    <row r="35" ht="60" customHeight="1" s="56">
      <c r="B35" s="68" t="inlineStr">
        <is>
          <t>Rental escalation</t>
        </is>
      </c>
      <c r="C35" s="68" t="inlineStr">
        <is>
          <t>5.0% every 2 years (~2.47%/yr effective)</t>
        </is>
      </c>
      <c r="D35" s="68" t="inlineStr">
        <is>
          <t>Conservative relative to common Indian lease escalation conventions (often 5% annually, or 15% every 3 years). Kept as-is; increasing it would improve returns further, so this is a conservative bias in the model, not a red flag.</t>
        </is>
      </c>
      <c r="E35" s="70" t="inlineStr">
        <is>
          <t>CONSERVATIVE</t>
        </is>
      </c>
    </row>
    <row r="36" ht="60" customHeight="1" s="56">
      <c r="B36" s="68" t="inlineStr">
        <is>
          <t>Rooftop maintenance drag, 'Do Nothing' scenario</t>
        </is>
      </c>
      <c r="C36" s="68" t="inlineStr">
        <is>
          <t>Rs.18.5 lakh over 10 yrs</t>
        </is>
      </c>
      <c r="D36" s="68" t="inlineStr">
        <is>
          <t>Planning-level placeholder for a host doing nothing with the roof (waterproofing, structural upkeep). Not sourced to a specific vendor quote — treat as illustrative.</t>
        </is>
      </c>
      <c r="E36" s="69" t="inlineStr">
        <is>
          <t>PLANNING ESTIMATE</t>
        </is>
      </c>
    </row>
    <row r="38" ht="15" customHeight="1" s="56">
      <c r="B38" s="59" t="inlineStr">
        <is>
          <t>4. WHAT REMAINS ILLUSTRATIVE / OUT OF SCOPE FOR THIS AUDIT</t>
        </is>
      </c>
    </row>
    <row r="39" ht="39.75" customHeight="1" s="56">
      <c r="B39" s="60" t="inlineStr">
        <is>
          <t>•  The site ('Vantage Line Complex', Bandlaguda/TSPA Corridor) and building parameters (roof area, floor count) are the user's own project inputs and were not independently verified — they are treated as given planning assumptions, not researched facts.</t>
        </is>
      </c>
    </row>
    <row r="40" ht="39.75" customHeight="1" s="56">
      <c r="B40" s="60" t="inlineStr">
        <is>
          <t>•  Regulatory references (TG-bPASS / TS-bPASS, TDR mechanics) are real Telangana systems (confirmed via tgbpass.telangana.gov.in and the GHMC TDR portal) — but this workbook does not confirm that THIS SPECIFIC project would qualify for or receive TDR/FAR loading; that requires a structural/statutory feasibility opinion from a licensed architect and structural engineer, which is outside the scope of a financial model.</t>
        </is>
      </c>
    </row>
    <row r="41" ht="39.75" customHeight="1" s="56">
      <c r="B41" s="60" t="inlineStr">
        <is>
          <t>•  Construction line-item rates (anchoring, cladding, MEP, fitout, soft costs) beyond the LGSF framing line were not individually re-priced against fresh quotes — treat the CapEx build-up as a credible planning-stage budget, not a tendered EPC price.</t>
        </is>
      </c>
    </row>
    <row r="42" ht="39.75" customHeight="1" s="56">
      <c r="B42" s="60" t="inlineStr">
        <is>
          <t>•  This is a financial planning model, not investment, legal, tax or engineering advice.</t>
        </is>
      </c>
    </row>
  </sheetData>
  <mergeCells count="18">
    <mergeCell ref="C18:F18"/>
    <mergeCell ref="B12:F12"/>
    <mergeCell ref="B7:F7"/>
    <mergeCell ref="C17:F17"/>
    <mergeCell ref="B6:F6"/>
    <mergeCell ref="B39:F39"/>
    <mergeCell ref="B8:F8"/>
    <mergeCell ref="B9:F9"/>
    <mergeCell ref="B10:F10"/>
    <mergeCell ref="B11:F11"/>
    <mergeCell ref="C20:F20"/>
    <mergeCell ref="B42:F42"/>
    <mergeCell ref="B22:F22"/>
    <mergeCell ref="B14:F14"/>
    <mergeCell ref="C19:F19"/>
    <mergeCell ref="B40:F40"/>
    <mergeCell ref="B41:F41"/>
    <mergeCell ref="B13:F1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E25"/>
  <sheetViews>
    <sheetView showFormulas="0" showGridLines="1" showRowColHeaders="1" showZeros="1" rightToLeft="0" tabSelected="0" showOutlineSymbols="1" defaultGridColor="1" view="normal" topLeftCell="A4"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4.73" customWidth="1" style="55" min="1" max="1"/>
    <col width="36.73" customWidth="1" style="55" min="2" max="2"/>
    <col width="22.73" customWidth="1" style="55" min="3" max="5"/>
  </cols>
  <sheetData>
    <row r="2" ht="21" customHeight="1" s="56">
      <c r="B2" s="71" t="inlineStr">
        <is>
          <t>EXECUTIVE REAL ESTATE &amp; CPM DASHBOARD</t>
        </is>
      </c>
    </row>
    <row r="3" ht="14.25" customHeight="1" s="56">
      <c r="B3" s="72" t="inlineStr">
        <is>
          <t>Adaptive Vertical Densification: Rooftop Co-Living Extension | Hyderabad 2026</t>
        </is>
      </c>
    </row>
    <row r="5" ht="14.25" customHeight="1" s="56">
      <c r="B5" s="73" t="inlineStr">
        <is>
          <t>EXECUTIVE KPI &amp; INVESTMENT BENCHMARK COMPARISON</t>
        </is>
      </c>
      <c r="C5" s="74" t="n"/>
      <c r="D5" s="74" t="n"/>
      <c r="E5" s="75" t="n"/>
    </row>
    <row r="6" ht="14.25" customHeight="1" s="56">
      <c r="B6" s="76" t="inlineStr">
        <is>
          <t>Core Investment Metric / KPI</t>
        </is>
      </c>
      <c r="C6" s="76" t="inlineStr">
        <is>
          <t>Model 1 (In-House TDR)</t>
        </is>
      </c>
      <c r="D6" s="76" t="inlineStr">
        <is>
          <t>Model 2 (External TDR)</t>
        </is>
      </c>
      <c r="E6" s="76" t="inlineStr">
        <is>
          <t>Variance / Delta</t>
        </is>
      </c>
    </row>
    <row r="7" ht="14.25" customHeight="1" s="56">
      <c r="B7" s="77" t="inlineStr">
        <is>
          <t>Total Project CapEx (Turnkey)</t>
        </is>
      </c>
      <c r="C7" s="78">
        <f>'3. Model 1 (In-House TDR)'!C9</f>
        <v/>
      </c>
      <c r="D7" s="78">
        <f>'4. Model 2 (External TDR)'!C10</f>
        <v/>
      </c>
      <c r="E7" s="78">
        <f>D7-C7</f>
        <v/>
      </c>
    </row>
    <row r="8" ht="14.25" customHeight="1" s="56">
      <c r="B8" s="79" t="inlineStr">
        <is>
          <t>External TDR Landed Cost</t>
        </is>
      </c>
      <c r="C8" s="80">
        <f>'3. Model 1 (In-House TDR)'!C7</f>
        <v/>
      </c>
      <c r="D8" s="80">
        <f>'4. Model 2 (External TDR)'!C8</f>
        <v/>
      </c>
      <c r="E8" s="80">
        <f>D8-C8</f>
        <v/>
      </c>
    </row>
    <row r="9" ht="14.25" customHeight="1" s="56">
      <c r="B9" s="79" t="inlineStr">
        <is>
          <t>Senior Bank Debt Required (65% LTV)</t>
        </is>
      </c>
      <c r="C9" s="80">
        <f>'3. Model 1 (In-House TDR)'!C12</f>
        <v/>
      </c>
      <c r="D9" s="80">
        <f>'4. Model 2 (External TDR)'!C13</f>
        <v/>
      </c>
      <c r="E9" s="80">
        <f>D9-C9</f>
        <v/>
      </c>
    </row>
    <row r="10" ht="14.25" customHeight="1" s="56">
      <c r="B10" s="79" t="inlineStr">
        <is>
          <t>Developer (GP) Equity Outflow (35%)</t>
        </is>
      </c>
      <c r="C10" s="81">
        <f>'3. Model 1 (In-House TDR)'!C13</f>
        <v/>
      </c>
      <c r="D10" s="81">
        <f>'4. Model 2 (External TDR)'!C14</f>
        <v/>
      </c>
      <c r="E10" s="81">
        <f>D10-C10</f>
        <v/>
      </c>
    </row>
    <row r="11" ht="14.25" customHeight="1" s="56">
      <c r="B11" s="77" t="inlineStr">
        <is>
          <t>Developer (GP) Equity IRR</t>
        </is>
      </c>
      <c r="C11" s="82">
        <f>'3. Model 1 (In-House TDR)'!C40</f>
        <v/>
      </c>
      <c r="D11" s="82">
        <f>'4. Model 2 (External TDR)'!C41</f>
        <v/>
      </c>
      <c r="E11" s="82">
        <f>D11-C11</f>
        <v/>
      </c>
    </row>
    <row r="12" ht="14.25" customHeight="1" s="56">
      <c r="B12" s="77" t="inlineStr">
        <is>
          <t>Levered Project IRR</t>
        </is>
      </c>
      <c r="C12" s="82">
        <f>'3. Model 1 (In-House TDR)'!C39</f>
        <v/>
      </c>
      <c r="D12" s="82">
        <f>'4. Model 2 (External TDR)'!C40</f>
        <v/>
      </c>
      <c r="E12" s="82">
        <f>D12-C12</f>
        <v/>
      </c>
    </row>
    <row r="13" ht="14.25" customHeight="1" s="56">
      <c r="B13" s="77" t="inlineStr">
        <is>
          <t>Unlevered Project IRR</t>
        </is>
      </c>
      <c r="C13" s="82">
        <f>'3. Model 1 (In-House TDR)'!C38</f>
        <v/>
      </c>
      <c r="D13" s="82">
        <f>'4. Model 2 (External TDR)'!C39</f>
        <v/>
      </c>
      <c r="E13" s="82">
        <f>D13-C13</f>
        <v/>
      </c>
    </row>
    <row r="14" ht="14.25" customHeight="1" s="56">
      <c r="B14" s="79" t="inlineStr">
        <is>
          <t>Developer Equity Multiple (MOIC)</t>
        </is>
      </c>
      <c r="C14" s="83">
        <f>'3. Model 1 (In-House TDR)'!C41</f>
        <v/>
      </c>
      <c r="D14" s="83">
        <f>'4. Model 2 (External TDR)'!C42</f>
        <v/>
      </c>
      <c r="E14" s="83">
        <f>D14-C14</f>
        <v/>
      </c>
    </row>
    <row r="15" ht="14.25" customHeight="1" s="56">
      <c r="B15" s="79" t="inlineStr">
        <is>
          <t>Stabilized DSCR (Year 2)</t>
        </is>
      </c>
      <c r="C15" s="84">
        <f>'3. Model 1 (In-House TDR)'!C44</f>
        <v/>
      </c>
      <c r="D15" s="84">
        <f>'4. Model 2 (External TDR)'!C45</f>
        <v/>
      </c>
      <c r="E15" s="84">
        <f>D15-C15</f>
        <v/>
      </c>
    </row>
    <row r="16" ht="14.25" customHeight="1" s="56">
      <c r="B16" s="79" t="inlineStr">
        <is>
          <t>10-Year Cumulative Host Payout</t>
        </is>
      </c>
      <c r="C16" s="81">
        <f>'3. Model 1 (In-House TDR)'!C42</f>
        <v/>
      </c>
      <c r="D16" s="81">
        <f>'4. Model 2 (External TDR)'!C43</f>
        <v/>
      </c>
      <c r="E16" s="81">
        <f>D16-C16</f>
        <v/>
      </c>
    </row>
    <row r="17" ht="14.25" customHeight="1" s="56">
      <c r="B17" s="77" t="inlineStr">
        <is>
          <t>Host 10-Year Net Wealth Created</t>
        </is>
      </c>
      <c r="C17" s="78">
        <f>'5. Opportunity Cost'!E13</f>
        <v/>
      </c>
      <c r="D17" s="85">
        <f>'4. Model 2 (External TDR)'!C43</f>
        <v/>
      </c>
      <c r="E17" s="78">
        <f>D17-C17</f>
        <v/>
      </c>
    </row>
    <row r="19" ht="15" customHeight="1" s="56">
      <c r="B19" s="59" t="inlineStr">
        <is>
          <t>MODEL DIAGNOSTICS &amp; SANITY CHECKS (auto-flag if inputs are changed)</t>
        </is>
      </c>
    </row>
    <row r="20" ht="14.25" customHeight="1" s="56">
      <c r="B20" s="86" t="inlineStr">
        <is>
          <t>Check</t>
        </is>
      </c>
      <c r="C20" s="86" t="inlineStr">
        <is>
          <t>Model 1</t>
        </is>
      </c>
      <c r="D20" s="86" t="inlineStr">
        <is>
          <t>Model 2</t>
        </is>
      </c>
      <c r="E20" s="86" t="inlineStr">
        <is>
          <t>Pass / Fail Rule</t>
        </is>
      </c>
    </row>
    <row r="21" ht="14.25" customHeight="1" s="56">
      <c r="B21" s="87" t="inlineStr">
        <is>
          <t>Year-1 DSCR (tightest year)</t>
        </is>
      </c>
      <c r="C21" s="88">
        <f>'3. Model 1 (In-House TDR)'!L39</f>
        <v/>
      </c>
      <c r="D21" s="88">
        <f>'4. Model 2 (External TDR)'!L40</f>
        <v/>
      </c>
      <c r="E21" s="89" t="inlineStr">
        <is>
          <t>&gt;= 1.25x bank covenant</t>
        </is>
      </c>
    </row>
    <row r="22" ht="14.25" customHeight="1" s="56">
      <c r="B22" s="87" t="inlineStr">
        <is>
          <t>Leverage effect (Levered IRR vs Unlevered IRR)</t>
        </is>
      </c>
      <c r="C22" s="90">
        <f>IF(C12&gt;C13,"Accretive (+)","Dilutive (-)")</f>
        <v/>
      </c>
      <c r="D22" s="90">
        <f>IF(D12&gt;D13,"Accretive (+)","Dilutive (-)")</f>
        <v/>
      </c>
      <c r="E22" s="89" t="inlineStr">
        <is>
          <t>Accretive expected: NOI yield &gt; cost of debt</t>
        </is>
      </c>
    </row>
    <row r="23" ht="14.25" customHeight="1" s="56">
      <c r="B23" s="87" t="inlineStr">
        <is>
          <t>Cost of debt vs Unlevered Project IRR</t>
        </is>
      </c>
      <c r="C23" s="90">
        <f>IF('3. Model 1 (In-House TDR)'!C14&lt;C13,"OK: debt cheaper than asset yield","WARNING: debt costlier than asset yield")</f>
        <v/>
      </c>
      <c r="D23" s="90">
        <f>IF('4. Model 2 (External TDR)'!C15&lt;D13,"OK: debt cheaper than asset yield","WARNING: debt costlier than asset yield")</f>
        <v/>
      </c>
      <c r="E23" s="89" t="inlineStr">
        <is>
          <t>Debt rate should sit below unlevered IRR</t>
        </is>
      </c>
    </row>
    <row r="24" ht="14.25" customHeight="1" s="56">
      <c r="B24" s="87" t="inlineStr">
        <is>
          <t>Debt Yield on Cost (Stabilised NOI / Loan Amount)</t>
        </is>
      </c>
      <c r="C24" s="91">
        <f>'3. Model 1 (In-House TDR)'!E25/'3. Model 1 (In-House TDR)'!C12</f>
        <v/>
      </c>
      <c r="D24" s="91">
        <f>'4. Model 2 (External TDR)'!E26/'4. Model 2 (External TDR)'!C13</f>
        <v/>
      </c>
      <c r="E24" s="89" t="inlineStr">
        <is>
          <t>Lenders typically want &gt;= 9-10%</t>
        </is>
      </c>
    </row>
    <row r="25" ht="14.25" customHeight="1" s="56">
      <c r="B25" s="87" t="inlineStr">
        <is>
          <t>Loan-to-Cost sanity (Senior Debt / Total CapEx)</t>
        </is>
      </c>
      <c r="C25" s="91">
        <f>'3. Model 1 (In-House TDR)'!C12/'3. Model 1 (In-House TDR)'!C9</f>
        <v/>
      </c>
      <c r="D25" s="91">
        <f>'4. Model 2 (External TDR)'!C13/'4. Model 2 (External TDR)'!C10</f>
        <v/>
      </c>
      <c r="E25" s="89" t="inlineStr">
        <is>
          <t>Should equal input LTV (65%)</t>
        </is>
      </c>
    </row>
  </sheetData>
  <mergeCells count="1">
    <mergeCell ref="B5:E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B2:H32"/>
  <sheetViews>
    <sheetView showFormulas="0" showGridLines="1" showRowColHeaders="1" showZeros="1" rightToLeft="0" tabSelected="0" showOutlineSymbols="1" defaultGridColor="1" view="normal" topLeftCell="A1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4.73" customWidth="1" style="55" min="1" max="1"/>
    <col width="32.73" customWidth="1" style="55" min="2" max="2"/>
    <col width="54.73" customWidth="1" style="55" min="3" max="3"/>
    <col width="14.73" customWidth="1" style="55" min="4" max="4"/>
    <col width="12.73" customWidth="1" style="55" min="5" max="5"/>
    <col width="14.73" customWidth="1" style="55" min="6" max="6"/>
    <col width="16.73" customWidth="1" style="55" min="7" max="7"/>
  </cols>
  <sheetData>
    <row r="2" ht="21" customHeight="1" s="56">
      <c r="B2" s="71" t="inlineStr">
        <is>
          <t>SPACE PROGRAMMING &amp; ZONING SCHEDULE</t>
        </is>
      </c>
    </row>
    <row r="3" ht="14.25" customHeight="1" s="56">
      <c r="B3" s="72" t="inlineStr">
        <is>
          <t>Option 1 Site: Vantage Line Complex, Bandlaguda / TSPA Corridor, Hyderabad (Host Roof: 3,500 m²)</t>
        </is>
      </c>
    </row>
    <row r="5" ht="14.25" customHeight="1" s="56">
      <c r="B5" s="73" t="inlineStr">
        <is>
          <t>1.1 HOST BUILDING ROOFTOP PARAMETERS</t>
        </is>
      </c>
      <c r="C5" s="74" t="n"/>
      <c r="D5" s="75" t="n"/>
    </row>
    <row r="6" ht="14.25" customHeight="1" s="56">
      <c r="B6" s="76" t="inlineStr">
        <is>
          <t>Parameter</t>
        </is>
      </c>
      <c r="C6" s="76" t="inlineStr">
        <is>
          <t>Value</t>
        </is>
      </c>
      <c r="D6" s="76" t="inlineStr">
        <is>
          <t>Unit</t>
        </is>
      </c>
    </row>
    <row r="7" ht="14.25" customHeight="1" s="56">
      <c r="B7" s="79" t="inlineStr">
        <is>
          <t>Host Building Roof Plate Area (3,500 m²)</t>
        </is>
      </c>
      <c r="C7" s="92" t="n">
        <v>37673</v>
      </c>
      <c r="D7" s="93" t="inlineStr">
        <is>
          <t>sq.ft</t>
        </is>
      </c>
    </row>
    <row r="8" ht="14.25" customHeight="1" s="56">
      <c r="B8" s="79" t="inlineStr">
        <is>
          <t>Less: 3 Staircase / Lift Mumty Cores &amp; MEP Shafts</t>
        </is>
      </c>
      <c r="C8" s="92" t="n">
        <v>1673</v>
      </c>
      <c r="D8" s="93" t="inlineStr">
        <is>
          <t>sq.ft</t>
        </is>
      </c>
    </row>
    <row r="9" ht="14.25" customHeight="1" s="56">
      <c r="B9" s="79" t="inlineStr">
        <is>
          <t>Net Usable Roof Footprint Available</t>
        </is>
      </c>
      <c r="C9" s="94">
        <f>C7-C8</f>
        <v/>
      </c>
      <c r="D9" s="93" t="inlineStr">
        <is>
          <t>sq.ft</t>
        </is>
      </c>
    </row>
    <row r="10" ht="14.25" customHeight="1" s="56">
      <c r="B10" s="79" t="inlineStr">
        <is>
          <t>Vertical Extension Floors Proposed</t>
        </is>
      </c>
      <c r="C10" s="92" t="n">
        <v>2</v>
      </c>
      <c r="D10" s="93" t="inlineStr">
        <is>
          <t>Floors</t>
        </is>
      </c>
    </row>
    <row r="11" ht="14.25" customHeight="1" s="56">
      <c r="B11" s="79" t="inlineStr">
        <is>
          <t>Total Rooftop Enclosed BUA (TDR Loaded)</t>
        </is>
      </c>
      <c r="C11" s="92" t="n">
        <v>30000</v>
      </c>
      <c r="D11" s="93" t="inlineStr">
        <is>
          <t>sq.ft</t>
        </is>
      </c>
    </row>
    <row r="12" ht="14.25" customHeight="1" s="56">
      <c r="B12" s="79" t="inlineStr">
        <is>
          <t>Total Open-to-Sky Terrace &amp; Bioclimatic Deck</t>
        </is>
      </c>
      <c r="C12" s="92" t="n">
        <v>24000</v>
      </c>
      <c r="D12" s="93" t="inlineStr">
        <is>
          <t>sq.ft</t>
        </is>
      </c>
    </row>
    <row r="13" ht="14.25" customHeight="1" s="56">
      <c r="B13" s="79" t="inlineStr">
        <is>
          <t>Total Development Program Area</t>
        </is>
      </c>
      <c r="C13" s="94">
        <f>C11+C12</f>
        <v/>
      </c>
      <c r="D13" s="93" t="inlineStr">
        <is>
          <t>sq.ft</t>
        </is>
      </c>
    </row>
    <row r="15" ht="14.25" customHeight="1" s="56">
      <c r="B15" s="73" t="inlineStr">
        <is>
          <t>1.2 CO-LIVING POD UNIT MIX &amp; REVENUE SCHEDULE</t>
        </is>
      </c>
      <c r="C15" s="74" t="n"/>
      <c r="D15" s="74" t="n"/>
      <c r="E15" s="74" t="n"/>
      <c r="F15" s="74" t="n"/>
      <c r="G15" s="75" t="n"/>
    </row>
    <row r="16" ht="26.25" customHeight="1" s="56">
      <c r="B16" s="76" t="inlineStr">
        <is>
          <t>Unit Typology</t>
        </is>
      </c>
      <c r="C16" s="76" t="inlineStr">
        <is>
          <t>Description / Occupancy</t>
        </is>
      </c>
      <c r="D16" s="76" t="inlineStr">
        <is>
          <t>Unit Carpet Area (sq.ft)</t>
        </is>
      </c>
      <c r="E16" s="76" t="inlineStr">
        <is>
          <t>No. of Units</t>
        </is>
      </c>
      <c r="F16" s="76" t="inlineStr">
        <is>
          <t>Total Beds</t>
        </is>
      </c>
      <c r="G16" s="76" t="inlineStr">
        <is>
          <t>Target Rent / Bed / Mo (₹)</t>
        </is>
      </c>
      <c r="H16" s="95" t="inlineStr">
        <is>
          <t>Beds / Unit (input)</t>
        </is>
      </c>
    </row>
    <row r="17" ht="14.25" customHeight="1" s="56">
      <c r="B17" s="77" t="inlineStr">
        <is>
          <t>Type A: Single Micro-Studio Pod</t>
        </is>
      </c>
      <c r="C17" s="96" t="inlineStr">
        <is>
          <t>Private Studio with En-Suite Pod &amp; Murphy Bed</t>
        </is>
      </c>
      <c r="D17" s="92" t="n">
        <v>260</v>
      </c>
      <c r="E17" s="92" t="n">
        <v>20</v>
      </c>
      <c r="F17" s="97">
        <f>E17*H17</f>
        <v/>
      </c>
      <c r="G17" s="98" t="n">
        <v>22000</v>
      </c>
      <c r="H17" s="99" t="n">
        <v>1</v>
      </c>
    </row>
    <row r="18" ht="14.25" customHeight="1" s="56">
      <c r="B18" s="77" t="inlineStr">
        <is>
          <t>Type B: Twin Sharing Suite Pod</t>
        </is>
      </c>
      <c r="C18" s="96" t="inlineStr">
        <is>
          <t>Dual Pod Cluster with Acoustically Separated Beds</t>
        </is>
      </c>
      <c r="D18" s="92" t="n">
        <v>340</v>
      </c>
      <c r="E18" s="92" t="n">
        <v>16</v>
      </c>
      <c r="F18" s="97">
        <f>E18*H18</f>
        <v/>
      </c>
      <c r="G18" s="98" t="n">
        <v>15500</v>
      </c>
      <c r="H18" s="99" t="n">
        <v>2</v>
      </c>
    </row>
    <row r="19" ht="14.25" customHeight="1" s="56">
      <c r="B19" s="77" t="inlineStr">
        <is>
          <t>Type C: Executive / Quad Suite</t>
        </is>
      </c>
      <c r="C19" s="96" t="inlineStr">
        <is>
          <t>Premium 4-Bed Co-Living Suite for Tech Groups</t>
        </is>
      </c>
      <c r="D19" s="92" t="n">
        <v>480</v>
      </c>
      <c r="E19" s="92" t="n">
        <v>4</v>
      </c>
      <c r="F19" s="97">
        <f>E19*H19</f>
        <v/>
      </c>
      <c r="G19" s="98" t="n">
        <v>13000</v>
      </c>
      <c r="H19" s="99" t="n">
        <v>4</v>
      </c>
    </row>
    <row r="20" ht="14.25" customHeight="1" s="56">
      <c r="B20" s="100" t="inlineStr">
        <is>
          <t>TOTALS / WEIGHTED AVERAGE</t>
        </is>
      </c>
      <c r="C20" s="79" t="inlineStr">
        <is>
          <t>Fully Furnished Turnkey Micro-Housing Pods</t>
        </is>
      </c>
      <c r="D20" s="94">
        <f>SUMPRODUCT(D17:D19, E17:E19)/E20</f>
        <v/>
      </c>
      <c r="E20" s="94">
        <f>SUM(E17:E19)</f>
        <v/>
      </c>
      <c r="F20" s="94">
        <f>SUM(F17:F19)</f>
        <v/>
      </c>
      <c r="G20" s="78">
        <f>SUMPRODUCT(F17:F19, G17:G19)/F20</f>
        <v/>
      </c>
    </row>
    <row r="22" ht="14.25" customHeight="1" s="56">
      <c r="B22" s="73" t="inlineStr">
        <is>
          <t>1.3 COMPLETE 7-TIER SPACE PROGRAM &amp; AREA ALLOCATION</t>
        </is>
      </c>
      <c r="C22" s="74" t="n"/>
      <c r="D22" s="74" t="n"/>
      <c r="E22" s="74" t="n"/>
      <c r="F22" s="75" t="n"/>
    </row>
    <row r="23" ht="14.25" customHeight="1" s="56">
      <c r="B23" s="76" t="inlineStr">
        <is>
          <t>Category / Zone</t>
        </is>
      </c>
      <c r="C23" s="76" t="inlineStr">
        <is>
          <t>Spaces &amp; Functional Components Included</t>
        </is>
      </c>
      <c r="D23" s="76" t="inlineStr">
        <is>
          <t>Level Allocation</t>
        </is>
      </c>
      <c r="E23" s="76" t="inlineStr">
        <is>
          <t>Area (sq.ft)</t>
        </is>
      </c>
      <c r="F23" s="76" t="inlineStr">
        <is>
          <t>% of Covered BUA</t>
        </is>
      </c>
    </row>
    <row r="24" ht="23.25" customHeight="1" s="56">
      <c r="B24" s="77" t="inlineStr">
        <is>
          <t>1. Arrival &amp; Administration</t>
        </is>
      </c>
      <c r="C24" s="96" t="inlineStr">
        <is>
          <t>Ground Entry Portico, Express Elevator Core, Rooftop Lobby, Concierge, FM Office, Smart Parcel Room</t>
        </is>
      </c>
      <c r="D24" s="93" t="inlineStr">
        <is>
          <t>Ground &amp; Level 5</t>
        </is>
      </c>
      <c r="E24" s="101" t="n">
        <v>1500</v>
      </c>
      <c r="F24" s="102">
        <f>E24/E30</f>
        <v/>
      </c>
    </row>
    <row r="25" ht="23.25" customHeight="1" s="56">
      <c r="B25" s="77" t="inlineStr">
        <is>
          <t>2. Community Core (Work &amp; Social)</t>
        </is>
      </c>
      <c r="C25" s="96" t="inlineStr">
        <is>
          <t>Sky-Lounge, Co-Working Hub, Zoom Pods (x3), Conference Room, Barista Station, Community Kitchen &amp; Dining</t>
        </is>
      </c>
      <c r="D25" s="93" t="inlineStr">
        <is>
          <t>Level 5 &amp; 6</t>
        </is>
      </c>
      <c r="E25" s="101" t="n">
        <v>4500</v>
      </c>
      <c r="F25" s="102">
        <f>E25/E30</f>
        <v/>
      </c>
    </row>
    <row r="26" ht="23.25" customHeight="1" s="56">
      <c r="B26" s="77" t="inlineStr">
        <is>
          <t>3. Wellness &amp; Recreation</t>
        </is>
      </c>
      <c r="C26" s="96" t="inlineStr">
        <is>
          <t>Fitness Center/Gym, Games Lounge (PS5/Billiards), Library &amp; Quiet Focus Nook, Indoor Yoga Studio</t>
        </is>
      </c>
      <c r="D26" s="93" t="inlineStr">
        <is>
          <t>Level 5 &amp; 6</t>
        </is>
      </c>
      <c r="E26" s="101" t="n">
        <v>3000</v>
      </c>
      <c r="F26" s="102">
        <f>E26/E30</f>
        <v/>
      </c>
    </row>
    <row r="27" ht="23.25" customHeight="1" s="56">
      <c r="B27" s="77" t="inlineStr">
        <is>
          <t>4. Residential Clusters &amp; Sky-Streets</t>
        </is>
      </c>
      <c r="C27" s="96" t="inlineStr">
        <is>
          <t>Naturally Ventilated Sky-Streets (Corridors), Cluster Breakout Front-Porches, Communal Laundromat, Potting Station</t>
        </is>
      </c>
      <c r="D27" s="93" t="inlineStr">
        <is>
          <t>Level 5 &amp; 6</t>
        </is>
      </c>
      <c r="E27" s="101" t="n">
        <v>6000</v>
      </c>
      <c r="F27" s="102">
        <f>E27/E30</f>
        <v/>
      </c>
    </row>
    <row r="28" ht="23.25" customHeight="1" s="56">
      <c r="B28" s="77" t="inlineStr">
        <is>
          <t>5. Private Living Units</t>
        </is>
      </c>
      <c r="C28" s="96" t="inlineStr">
        <is>
          <t>20 Single Pods, 16 Twin Pods, 4 Quad Suites (40 Pods total with Turnkey En-Suite FRP Bathrooms)</t>
        </is>
      </c>
      <c r="D28" s="93" t="inlineStr">
        <is>
          <t>Level 5 &amp; 6</t>
        </is>
      </c>
      <c r="E28" s="101" t="n">
        <v>12500</v>
      </c>
      <c r="F28" s="102">
        <f>E28/E30</f>
        <v/>
      </c>
    </row>
    <row r="29" ht="23.25" customHeight="1" s="56">
      <c r="B29" s="77" t="inlineStr">
        <is>
          <t>6. Back-of-House (BOH) &amp; MEP</t>
        </is>
      </c>
      <c r="C29" s="96" t="inlineStr">
        <is>
          <t>180mm Raised Floor Plenum, Hydropneumatic Pumps, MBR Greywater Plant, Solar Inverter Room, Server &amp; Substation</t>
        </is>
      </c>
      <c r="D29" s="93" t="inlineStr">
        <is>
          <t>Level 5 &amp; Services</t>
        </is>
      </c>
      <c r="E29" s="101" t="n">
        <v>2500</v>
      </c>
      <c r="F29" s="102">
        <f>E29/E30</f>
        <v/>
      </c>
    </row>
    <row r="30" ht="14.25" customHeight="1" s="56">
      <c r="B30" s="100" t="inlineStr">
        <is>
          <t>TOTAL COVERED BUILT-UP AREA (BUA)</t>
        </is>
      </c>
      <c r="C30" s="79" t="inlineStr">
        <is>
          <t>Enclosed Dry-Construction LGSF Structure (Loaded onto TG-bPASS / TDR)</t>
        </is>
      </c>
      <c r="D30" s="93" t="inlineStr">
        <is>
          <t>2 Floors</t>
        </is>
      </c>
      <c r="E30" s="94">
        <f>SUM(E24:E29)</f>
        <v/>
      </c>
      <c r="F30" s="82">
        <f>SUM(F24:F29)</f>
        <v/>
      </c>
    </row>
    <row r="31" ht="23.25" customHeight="1" s="56">
      <c r="B31" s="77" t="inlineStr">
        <is>
          <t>7. Outdoor &amp; Bioclimatic Terraces</t>
        </is>
      </c>
      <c r="C31" s="96" t="inlineStr">
        <is>
          <t>The Sky-Plaza Courtyard, Acrylic Pickleball / Multi-Sport Court, Hydroponic Urban Farm, Sunset BBQ &amp; Viewing Deck</t>
        </is>
      </c>
      <c r="D31" s="93" t="inlineStr">
        <is>
          <t>Level 5 &amp; 6 Open Decks</t>
        </is>
      </c>
      <c r="E31" s="101" t="n">
        <v>24000</v>
      </c>
      <c r="F31" s="93" t="inlineStr">
        <is>
          <t>Open Deck</t>
        </is>
      </c>
    </row>
    <row r="32" ht="14.25" customHeight="1" s="56">
      <c r="B32" s="100" t="inlineStr">
        <is>
          <t>TOTAL ACTIVE ROOFTOP SPACE</t>
        </is>
      </c>
      <c r="C32" s="79" t="inlineStr">
        <is>
          <t>Total Enclosed BUA + Usable Open Terraces</t>
        </is>
      </c>
      <c r="D32" s="93" t="inlineStr">
        <is>
          <t>Comprehensive</t>
        </is>
      </c>
      <c r="E32" s="94">
        <f>E30+E31</f>
        <v/>
      </c>
      <c r="F32" s="93" t="inlineStr">
        <is>
          <t>-</t>
        </is>
      </c>
    </row>
  </sheetData>
  <mergeCells count="3">
    <mergeCell ref="B22:F22"/>
    <mergeCell ref="B5:D5"/>
    <mergeCell ref="B15:G1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B2:I34"/>
  <sheetViews>
    <sheetView showFormulas="0" showGridLines="1" showRowColHeaders="1" showZeros="1" rightToLeft="0" tabSelected="1" showOutlineSymbols="1" defaultGridColor="1" view="normal" topLeftCell="A16"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4.73" customWidth="1" style="55" min="1" max="1"/>
    <col width="6.73" customWidth="1" style="55" min="2" max="2"/>
    <col width="38.73" customWidth="1" style="55" min="3" max="3"/>
    <col width="42.73" customWidth="1" style="55" min="4" max="4"/>
    <col width="12.73" customWidth="1" style="55" min="5" max="5"/>
    <col width="14.73" customWidth="1" style="55" min="6" max="6"/>
    <col width="16.73" customWidth="1" style="55" min="7" max="7"/>
    <col width="14.73" customWidth="1" style="55" min="8" max="8"/>
    <col width="12.73" customWidth="1" style="55" min="9" max="9"/>
  </cols>
  <sheetData>
    <row r="2" ht="21" customHeight="1" s="56">
      <c r="C2" s="71" t="inlineStr">
        <is>
          <t>CPM PROJECT SCHEDULE &amp; INSTITUTIONAL CAPEX BOQ</t>
        </is>
      </c>
    </row>
    <row r="3" ht="14.25" customHeight="1" s="56">
      <c r="C3" s="72" t="inlineStr">
        <is>
          <t>LGSF + Bison Panel + Rockwool Infill | 100% Indian Supply Chain (Tata, NCL, Visaka, Saint-Gobain)</t>
        </is>
      </c>
    </row>
    <row r="5" ht="14.25" customHeight="1" s="56">
      <c r="C5" s="73" t="inlineStr">
        <is>
          <t>2.1 CPM 16-WEEK MASTER PROJECT SCHEDULE (72-HOUR CRANE LOGISTICS)</t>
        </is>
      </c>
      <c r="D5" s="74" t="n"/>
      <c r="E5" s="74" t="n"/>
      <c r="F5" s="74" t="n"/>
      <c r="G5" s="74" t="n"/>
      <c r="H5" s="74" t="n"/>
      <c r="I5" s="75" t="n"/>
    </row>
    <row r="6" ht="14.25" customHeight="1" s="56">
      <c r="B6" s="76" t="inlineStr">
        <is>
          <t>Phase</t>
        </is>
      </c>
      <c r="C6" s="76" t="inlineStr">
        <is>
          <t>Activity / Milestone Name</t>
        </is>
      </c>
      <c r="D6" s="76" t="inlineStr">
        <is>
          <t>Detailed Scope &amp; Execution Methodology</t>
        </is>
      </c>
      <c r="E6" s="76" t="inlineStr">
        <is>
          <t>Start Wk</t>
        </is>
      </c>
      <c r="F6" s="76" t="inlineStr">
        <is>
          <t>End Wk</t>
        </is>
      </c>
      <c r="G6" s="76" t="inlineStr">
        <is>
          <t>Duration</t>
        </is>
      </c>
      <c r="H6" s="76" t="inlineStr">
        <is>
          <t>Predecessor</t>
        </is>
      </c>
      <c r="I6" s="76" t="inlineStr">
        <is>
          <t>Critical Path?</t>
        </is>
      </c>
    </row>
    <row r="7" ht="23.25" customHeight="1" s="56">
      <c r="B7" s="93" t="inlineStr">
        <is>
          <t>P1</t>
        </is>
      </c>
      <c r="C7" s="77" t="inlineStr">
        <is>
          <t>Statutory Approvals &amp; Structural Audit</t>
        </is>
      </c>
      <c r="D7" s="96" t="inlineStr">
        <is>
          <t>TG-bPASS filing, Non-destructive RCC column testing, Structural engineer certification, Fire NOC</t>
        </is>
      </c>
      <c r="E7" s="93" t="n">
        <v>1</v>
      </c>
      <c r="F7" s="93" t="n">
        <v>4</v>
      </c>
      <c r="G7" s="93" t="inlineStr">
        <is>
          <t>4 Weeks</t>
        </is>
      </c>
      <c r="H7" s="93" t="inlineStr">
        <is>
          <t>None</t>
        </is>
      </c>
      <c r="I7" s="93" t="inlineStr">
        <is>
          <t>YES (Critical)</t>
        </is>
      </c>
    </row>
    <row r="8" ht="23.25" customHeight="1" s="56">
      <c r="B8" s="93" t="inlineStr">
        <is>
          <t>P2</t>
        </is>
      </c>
      <c r="C8" s="77" t="inlineStr">
        <is>
          <t>Offsite Factory Manufacturing</t>
        </is>
      </c>
      <c r="D8" s="96" t="inlineStr">
        <is>
          <t>LGSF precision cold-rolling (Tata G550), Bison panel CNC precutting, Modular FRP bathroom fabrication</t>
        </is>
      </c>
      <c r="E8" s="93" t="n">
        <v>3</v>
      </c>
      <c r="F8" s="93" t="n">
        <v>8</v>
      </c>
      <c r="G8" s="93" t="inlineStr">
        <is>
          <t>6 Weeks</t>
        </is>
      </c>
      <c r="H8" s="93" t="inlineStr">
        <is>
          <t>P1 Approval</t>
        </is>
      </c>
      <c r="I8" s="93" t="inlineStr">
        <is>
          <t>YES (Critical)</t>
        </is>
      </c>
    </row>
    <row r="9" ht="23.25" customHeight="1" s="56">
      <c r="B9" s="93" t="inlineStr">
        <is>
          <t>P3</t>
        </is>
      </c>
      <c r="C9" s="77" t="inlineStr">
        <is>
          <t>Rooftop Substructure Preparation</t>
        </is>
      </c>
      <c r="D9" s="96" t="inlineStr">
        <is>
          <t>Core-drilling existing RCC columns, Hilti HIT-RE 500 V4 chemical anchoring, 25mm Neoprene pad leveling</t>
        </is>
      </c>
      <c r="E9" s="93" t="n">
        <v>7</v>
      </c>
      <c r="F9" s="93" t="n">
        <v>9</v>
      </c>
      <c r="G9" s="93" t="inlineStr">
        <is>
          <t>2 Weeks</t>
        </is>
      </c>
      <c r="H9" s="93" t="inlineStr">
        <is>
          <t>P1, P2</t>
        </is>
      </c>
      <c r="I9" s="93" t="inlineStr">
        <is>
          <t>YES (Critical)</t>
        </is>
      </c>
    </row>
    <row r="10" ht="23.25" customHeight="1" s="56">
      <c r="B10" s="93" t="inlineStr">
        <is>
          <t>P4</t>
        </is>
      </c>
      <c r="C10" s="77" t="inlineStr">
        <is>
          <t>Weekend Crane Erection Window</t>
        </is>
      </c>
      <c r="D10" s="96" t="inlineStr">
        <is>
          <t>72-Hour continuous weekend road closure; 200-ton telescopic crane hoisting steel bundles &amp; bathroom pods</t>
        </is>
      </c>
      <c r="E10" s="93" t="n">
        <v>9</v>
      </c>
      <c r="F10" s="93" t="n">
        <v>10</v>
      </c>
      <c r="G10" s="93" t="inlineStr">
        <is>
          <t>72 Hours</t>
        </is>
      </c>
      <c r="H10" s="93" t="inlineStr">
        <is>
          <t>P3 Ready</t>
        </is>
      </c>
      <c r="I10" s="93" t="inlineStr">
        <is>
          <t>YES (Critical)</t>
        </is>
      </c>
    </row>
    <row r="11" ht="23.25" customHeight="1" s="56">
      <c r="B11" s="93" t="inlineStr">
        <is>
          <t>P5</t>
        </is>
      </c>
      <c r="C11" s="77" t="inlineStr">
        <is>
          <t>Envelope, Decking &amp; MEP Rough-Ins</t>
        </is>
      </c>
      <c r="D11" s="96" t="inlineStr">
        <is>
          <t>NCL Bison 16mm floor decking, Visaka exterior siding, Rockwool infill, Hydropneumatic &amp; vacuum plumbing</t>
        </is>
      </c>
      <c r="E11" s="93" t="n">
        <v>10</v>
      </c>
      <c r="F11" s="93" t="n">
        <v>13</v>
      </c>
      <c r="G11" s="93" t="inlineStr">
        <is>
          <t>3 Weeks</t>
        </is>
      </c>
      <c r="H11" s="93" t="inlineStr">
        <is>
          <t>P4 Lift</t>
        </is>
      </c>
      <c r="I11" s="93" t="inlineStr">
        <is>
          <t>YES (Critical)</t>
        </is>
      </c>
    </row>
    <row r="12" ht="23.25" customHeight="1" s="56">
      <c r="B12" s="93" t="inlineStr">
        <is>
          <t>P6</t>
        </is>
      </c>
      <c r="C12" s="77" t="inlineStr">
        <is>
          <t>Interior Fitout &amp; Commissioning</t>
        </is>
      </c>
      <c r="D12" s="96" t="inlineStr">
        <is>
          <t>Kinematic Murphy beds, Co-working furniture, Pickleball court acrylic laying, MBR testing, Handover</t>
        </is>
      </c>
      <c r="E12" s="93" t="n">
        <v>13</v>
      </c>
      <c r="F12" s="93" t="n">
        <v>16</v>
      </c>
      <c r="G12" s="93" t="inlineStr">
        <is>
          <t>3 Weeks</t>
        </is>
      </c>
      <c r="H12" s="93" t="inlineStr">
        <is>
          <t>P5 Envelope</t>
        </is>
      </c>
      <c r="I12" s="93" t="inlineStr">
        <is>
          <t>YES (Critical)</t>
        </is>
      </c>
    </row>
    <row r="14" ht="14.25" customHeight="1" s="56">
      <c r="C14" s="73" t="inlineStr">
        <is>
          <t>2.2 INSTITUTIONAL BILL OF QUANTITIES (HARD &amp; SOFT COSTS)</t>
        </is>
      </c>
      <c r="D14" s="74" t="n"/>
      <c r="E14" s="74" t="n"/>
      <c r="F14" s="74" t="n"/>
      <c r="G14" s="74" t="n"/>
      <c r="H14" s="74" t="n"/>
      <c r="I14" s="75" t="n"/>
    </row>
    <row r="15" ht="14.25" customHeight="1" s="56">
      <c r="B15" s="76" t="inlineStr">
        <is>
          <t>S.No</t>
        </is>
      </c>
      <c r="C15" s="76" t="inlineStr">
        <is>
          <t>Trade / Cost Component</t>
        </is>
      </c>
      <c r="D15" s="76" t="inlineStr">
        <is>
          <t>Material Specification &amp; Industrial Benchmark</t>
        </is>
      </c>
      <c r="E15" s="76" t="inlineStr">
        <is>
          <t>Basis / Driver</t>
        </is>
      </c>
      <c r="F15" s="76" t="inlineStr">
        <is>
          <t>Qty / Basis</t>
        </is>
      </c>
      <c r="G15" s="76" t="inlineStr">
        <is>
          <t>Rate (₹)</t>
        </is>
      </c>
      <c r="H15" s="76" t="inlineStr">
        <is>
          <t>Total Amount (₹)</t>
        </is>
      </c>
      <c r="I15" s="76" t="inlineStr">
        <is>
          <t>% of CapEx</t>
        </is>
      </c>
    </row>
    <row r="16" ht="23.25" customHeight="1" s="56">
      <c r="B16" s="93" t="inlineStr">
        <is>
          <t>1</t>
        </is>
      </c>
      <c r="C16" s="77" t="inlineStr">
        <is>
          <t>Substructure Anchoring System</t>
        </is>
      </c>
      <c r="D16" s="96" t="inlineStr">
        <is>
          <t>Hilti HIT-RE 500 V4 injection mortar + 8.8 grade anchor studs to host RCC columns</t>
        </is>
      </c>
      <c r="E16" s="93" t="inlineStr">
        <is>
          <t>Per sq.ft BUA</t>
        </is>
      </c>
      <c r="F16" s="101">
        <f>'1. Space Program'!E30</f>
        <v/>
      </c>
      <c r="G16" s="98" t="n">
        <v>145</v>
      </c>
      <c r="H16" s="80">
        <f>F16*G16</f>
        <v/>
      </c>
      <c r="I16" s="102">
        <f>H16/$H$30</f>
        <v/>
      </c>
    </row>
    <row r="17" ht="23.25" customHeight="1" s="56">
      <c r="B17" s="93" t="inlineStr">
        <is>
          <t>2</t>
        </is>
      </c>
      <c r="C17" s="77" t="inlineStr">
        <is>
          <t>Acoustic Decoupling Pads</t>
        </is>
      </c>
      <c r="D17" s="96" t="inlineStr">
        <is>
          <t>25mm Calibrated Neoprene / Sylomer elastomeric base isolators under all LGSF tracks</t>
        </is>
      </c>
      <c r="E17" s="93" t="inlineStr">
        <is>
          <t>Per sq.ft BUA</t>
        </is>
      </c>
      <c r="F17" s="101">
        <f>'1. Space Program'!E30</f>
        <v/>
      </c>
      <c r="G17" s="98" t="n">
        <v>40</v>
      </c>
      <c r="H17" s="80">
        <f>F17*G17</f>
        <v/>
      </c>
      <c r="I17" s="102">
        <f>H17/$H$30</f>
        <v/>
      </c>
    </row>
    <row r="18" ht="23.25" customHeight="1" s="56">
      <c r="B18" s="93" t="inlineStr">
        <is>
          <t>3</t>
        </is>
      </c>
      <c r="C18" s="77" t="inlineStr">
        <is>
          <t>LGSF Superstructure Framing</t>
        </is>
      </c>
      <c r="D18" s="96" t="inlineStr">
        <is>
          <t>Tata BlueScope / Everest G550 high-tensile cold-formed steel (Framing, trusses, joists)</t>
        </is>
      </c>
      <c r="E18" s="93" t="inlineStr">
        <is>
          <t>Per sq.ft BUA</t>
        </is>
      </c>
      <c r="F18" s="101">
        <f>'1. Space Program'!E30</f>
        <v/>
      </c>
      <c r="G18" s="98" t="n">
        <v>640</v>
      </c>
      <c r="H18" s="80">
        <f>F18*G18</f>
        <v/>
      </c>
      <c r="I18" s="102">
        <f>H18/$H$30</f>
        <v/>
      </c>
    </row>
    <row r="19" ht="23.25" customHeight="1" s="56">
      <c r="B19" s="93" t="inlineStr">
        <is>
          <t>4</t>
        </is>
      </c>
      <c r="C19" s="77" t="inlineStr">
        <is>
          <t>Floor Decking &amp; Acoustic Underlay</t>
        </is>
      </c>
      <c r="D19" s="96" t="inlineStr">
        <is>
          <t>16mm NCL Bison cement-bonded particle board + 5mm acoustic mat + Heavy-duty SPC vinyl</t>
        </is>
      </c>
      <c r="E19" s="93" t="inlineStr">
        <is>
          <t>Per sq.ft BUA</t>
        </is>
      </c>
      <c r="F19" s="101">
        <f>'1. Space Program'!E30</f>
        <v/>
      </c>
      <c r="G19" s="98" t="n">
        <v>210</v>
      </c>
      <c r="H19" s="80">
        <f>F19*G19</f>
        <v/>
      </c>
      <c r="I19" s="102">
        <f>H19/$H$30</f>
        <v/>
      </c>
    </row>
    <row r="20" ht="23.25" customHeight="1" s="56">
      <c r="B20" s="93" t="inlineStr">
        <is>
          <t>5</t>
        </is>
      </c>
      <c r="C20" s="77" t="inlineStr">
        <is>
          <t>Exterior Cladding &amp; Weatherproofing</t>
        </is>
      </c>
      <c r="D20" s="96" t="inlineStr">
        <is>
          <t>12mm Visaka FCB + Tyvek weather-barrier + Polyurethane UV-resistant protective facade</t>
        </is>
      </c>
      <c r="E20" s="93" t="inlineStr">
        <is>
          <t>Per sq.ft BUA</t>
        </is>
      </c>
      <c r="F20" s="101">
        <f>'1. Space Program'!E30</f>
        <v/>
      </c>
      <c r="G20" s="98" t="n">
        <v>230</v>
      </c>
      <c r="H20" s="80">
        <f>F20*G20</f>
        <v/>
      </c>
      <c r="I20" s="102">
        <f>H20/$H$30</f>
        <v/>
      </c>
    </row>
    <row r="21" ht="23.25" customHeight="1" s="56">
      <c r="B21" s="93" t="inlineStr">
        <is>
          <t>6</t>
        </is>
      </c>
      <c r="C21" s="77" t="inlineStr">
        <is>
          <t>Internal Partitions &amp; Acoustic Walls</t>
        </is>
      </c>
      <c r="D21" s="96" t="inlineStr">
        <is>
          <t>Gyproc double drywall + 64kg/m³ Rockwool insulation (STC 52 acoustic rating)</t>
        </is>
      </c>
      <c r="E21" s="93" t="inlineStr">
        <is>
          <t>Per sq.ft BUA</t>
        </is>
      </c>
      <c r="F21" s="101">
        <f>'1. Space Program'!E30</f>
        <v/>
      </c>
      <c r="G21" s="98" t="n">
        <v>175</v>
      </c>
      <c r="H21" s="80">
        <f>F21*G21</f>
        <v/>
      </c>
      <c r="I21" s="102">
        <f>H21/$H$30</f>
        <v/>
      </c>
    </row>
    <row r="22" ht="23.25" customHeight="1" s="56">
      <c r="B22" s="93" t="inlineStr">
        <is>
          <t>7</t>
        </is>
      </c>
      <c r="C22" s="77" t="inlineStr">
        <is>
          <t>Turnkey FRP Modular Bathroom Pods</t>
        </is>
      </c>
      <c r="D22" s="96" t="inlineStr">
        <is>
          <t>40 Factory prefabricated composite bathroom pods with Jaquar/Kohler sanitaryware</t>
        </is>
      </c>
      <c r="E22" s="93" t="inlineStr">
        <is>
          <t>Per Unit</t>
        </is>
      </c>
      <c r="F22" s="101">
        <f>'1. Space Program'!E20</f>
        <v/>
      </c>
      <c r="G22" s="98" t="n">
        <v>180000</v>
      </c>
      <c r="H22" s="80">
        <f>F22*G22</f>
        <v/>
      </c>
      <c r="I22" s="102">
        <f>H22/$H$30</f>
        <v/>
      </c>
    </row>
    <row r="23" ht="23.25" customHeight="1" s="56">
      <c r="B23" s="93" t="inlineStr">
        <is>
          <t>8</t>
        </is>
      </c>
      <c r="C23" s="77" t="inlineStr">
        <is>
          <t>Kinematic Private Pod Fitout</t>
        </is>
      </c>
      <c r="D23" s="96" t="inlineStr">
        <is>
          <t>Integrated Murphy beds, acoustic sliding partitions, modular wardrobes, study workstations</t>
        </is>
      </c>
      <c r="E23" s="93" t="inlineStr">
        <is>
          <t>Per Unit</t>
        </is>
      </c>
      <c r="F23" s="101">
        <f>'1. Space Program'!E20</f>
        <v/>
      </c>
      <c r="G23" s="98" t="n">
        <v>160000</v>
      </c>
      <c r="H23" s="80">
        <f>F23*G23</f>
        <v/>
      </c>
      <c r="I23" s="102">
        <f>H23/$H$30</f>
        <v/>
      </c>
    </row>
    <row r="24" ht="23.25" customHeight="1" s="56">
      <c r="B24" s="93" t="inlineStr">
        <is>
          <t>9</t>
        </is>
      </c>
      <c r="C24" s="77" t="inlineStr">
        <is>
          <t>Community Core &amp; Wellness Fitout</t>
        </is>
      </c>
      <c r="D24" s="96" t="inlineStr">
        <is>
          <t>Co-working hot-desks, Commercial kitchen islands, Gym equipment, PS5 game lounge AV</t>
        </is>
      </c>
      <c r="E24" s="93" t="inlineStr">
        <is>
          <t>Lump Sum</t>
        </is>
      </c>
      <c r="F24" s="101" t="n">
        <v>1</v>
      </c>
      <c r="G24" s="98" t="n">
        <v>5500000</v>
      </c>
      <c r="H24" s="80">
        <f>F24*G24</f>
        <v/>
      </c>
      <c r="I24" s="102">
        <f>H24/$H$30</f>
        <v/>
      </c>
    </row>
    <row r="25" ht="23.25" customHeight="1" s="56">
      <c r="B25" s="93" t="inlineStr">
        <is>
          <t>10</t>
        </is>
      </c>
      <c r="C25" s="77" t="inlineStr">
        <is>
          <t>Outdoor Hardscaping &amp; Recreation</t>
        </is>
      </c>
      <c r="D25" s="96" t="inlineStr">
        <is>
          <t>Acrylic Pickleball court, Composite timber decking, Sky-Plaza pergolas, Hydroponic farm</t>
        </is>
      </c>
      <c r="E25" s="93" t="inlineStr">
        <is>
          <t>Per sq.ft Deck</t>
        </is>
      </c>
      <c r="F25" s="101">
        <f>'1. Space Program'!E31</f>
        <v/>
      </c>
      <c r="G25" s="98" t="n">
        <v>270</v>
      </c>
      <c r="H25" s="80">
        <f>F25*G25</f>
        <v/>
      </c>
      <c r="I25" s="102">
        <f>H25/$H$30</f>
        <v/>
      </c>
    </row>
    <row r="26" ht="23.25" customHeight="1" s="56">
      <c r="B26" s="93" t="inlineStr">
        <is>
          <t>11</t>
        </is>
      </c>
      <c r="C26" s="77" t="inlineStr">
        <is>
          <t>MEP Infrastructure &amp; Glass Lift</t>
        </is>
      </c>
      <c r="D26" s="96" t="inlineStr">
        <is>
          <t>Hydropneumatic booster system, Vacuum drainage, MBR greywater plant, Scenic glass elevator</t>
        </is>
      </c>
      <c r="E26" s="93" t="inlineStr">
        <is>
          <t>Lump Sum</t>
        </is>
      </c>
      <c r="F26" s="101" t="n">
        <v>1</v>
      </c>
      <c r="G26" s="98" t="n">
        <v>9500000</v>
      </c>
      <c r="H26" s="80">
        <f>F26*G26</f>
        <v/>
      </c>
      <c r="I26" s="102">
        <f>H26/$H$30</f>
        <v/>
      </c>
    </row>
    <row r="27" ht="23.25" customHeight="1" s="56">
      <c r="B27" s="93" t="inlineStr">
        <is>
          <t>12</t>
        </is>
      </c>
      <c r="C27" s="77" t="inlineStr">
        <is>
          <t>BIPV Solar Canopy &amp; Blue Roof</t>
        </is>
      </c>
      <c r="D27" s="96" t="inlineStr">
        <is>
          <t>100 kWp Rooftop Solar Pergola canopy + Stormwater retention attenuation blue-roof cells</t>
        </is>
      </c>
      <c r="E27" s="93" t="inlineStr">
        <is>
          <t>Lump Sum</t>
        </is>
      </c>
      <c r="F27" s="101" t="n">
        <v>1</v>
      </c>
      <c r="G27" s="98" t="n">
        <v>5200000</v>
      </c>
      <c r="H27" s="80">
        <f>F27*G27</f>
        <v/>
      </c>
      <c r="I27" s="102">
        <f>H27/$H$30</f>
        <v/>
      </c>
    </row>
    <row r="28" ht="23.25" customHeight="1" s="56">
      <c r="B28" s="93" t="inlineStr">
        <is>
          <t>13</t>
        </is>
      </c>
      <c r="C28" s="77" t="inlineStr">
        <is>
          <t>High-Performance Glazing</t>
        </is>
      </c>
      <c r="D28" s="96" t="inlineStr">
        <is>
          <t>Saint-Gobain Planitherm Low-E DGU acoustic insulated double glazing</t>
        </is>
      </c>
      <c r="E28" s="93" t="inlineStr">
        <is>
          <t>Per sq.ft BUA</t>
        </is>
      </c>
      <c r="F28" s="101">
        <f>'1. Space Program'!E30</f>
        <v/>
      </c>
      <c r="G28" s="98" t="n">
        <v>95</v>
      </c>
      <c r="H28" s="80">
        <f>F28*G28</f>
        <v/>
      </c>
      <c r="I28" s="102">
        <f>H28/$H$30</f>
        <v/>
      </c>
    </row>
    <row r="29" ht="23.25" customHeight="1" s="56">
      <c r="B29" s="93" t="inlineStr">
        <is>
          <t>14</t>
        </is>
      </c>
      <c r="C29" s="77" t="inlineStr">
        <is>
          <t>Soft Costs, PMC, Statutories &amp; Contingency</t>
        </is>
      </c>
      <c r="D29" s="96" t="inlineStr">
        <is>
          <t>Architecture, Structural vetting, TG-bPASS fees, PMC supervision, Fire NOC, 5% Contingency</t>
        </is>
      </c>
      <c r="E29" s="93" t="inlineStr">
        <is>
          <t>Lump Sum</t>
        </is>
      </c>
      <c r="F29" s="101" t="n">
        <v>1</v>
      </c>
      <c r="G29" s="98" t="n">
        <v>11500000</v>
      </c>
      <c r="H29" s="80">
        <f>F29*G29</f>
        <v/>
      </c>
      <c r="I29" s="102">
        <f>H29/$H$30</f>
        <v/>
      </c>
    </row>
    <row r="30" ht="14.25" customHeight="1" s="56">
      <c r="B30" s="100" t="n"/>
      <c r="C30" s="100" t="inlineStr">
        <is>
          <t>TOTAL TURNKEY BASE CONSTRUCTION CAPEX</t>
        </is>
      </c>
      <c r="D30" s="79" t="inlineStr">
        <is>
          <t>Complete EPC Turnkey Delivery (Excl. External TDR)</t>
        </is>
      </c>
      <c r="E30" s="93" t="inlineStr">
        <is>
          <t>-</t>
        </is>
      </c>
      <c r="F30" s="93" t="inlineStr">
        <is>
          <t>-</t>
        </is>
      </c>
      <c r="G30" s="93" t="inlineStr">
        <is>
          <t>-</t>
        </is>
      </c>
      <c r="H30" s="81">
        <f>SUM(H16:H29)</f>
        <v/>
      </c>
      <c r="I30" s="82">
        <f>SUM(I16:I29)</f>
        <v/>
      </c>
    </row>
    <row r="32" ht="14.25" customHeight="1" s="56">
      <c r="C32" s="77" t="inlineStr">
        <is>
          <t>CapEx per sq.ft of Enclosed BUA (30,000 sq.ft)</t>
        </is>
      </c>
      <c r="D32" s="78">
        <f>H30/'1. Space Program'!E30</f>
        <v/>
      </c>
    </row>
    <row r="33" ht="14.25" customHeight="1" s="56">
      <c r="C33" s="77" t="inlineStr">
        <is>
          <t>CapEx per Pod Unit (40 Units Turnkey)</t>
        </is>
      </c>
      <c r="D33" s="78">
        <f>H30/'1. Space Program'!E20</f>
        <v/>
      </c>
    </row>
    <row r="34" ht="14.25" customHeight="1" s="56">
      <c r="C34" s="77" t="inlineStr">
        <is>
          <t>CapEx per Bed (68 Total Beds)</t>
        </is>
      </c>
      <c r="D34" s="78">
        <f>H30/'1. Space Program'!F20</f>
        <v/>
      </c>
    </row>
  </sheetData>
  <mergeCells count="2">
    <mergeCell ref="C14:I14"/>
    <mergeCell ref="C5:I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B2:N48"/>
  <sheetViews>
    <sheetView showFormulas="0" showGridLines="1" showRowColHeaders="1" showZeros="1" rightToLeft="0" tabSelected="1" showOutlineSymbols="1" defaultGridColor="1" view="normal" topLeftCell="A25" colorId="64" zoomScale="100" zoomScaleNormal="100" zoomScalePageLayoutView="100" workbookViewId="0">
      <selection pane="topLeft" activeCell="E16" activeCellId="0" sqref="E16"/>
    </sheetView>
  </sheetViews>
  <sheetFormatPr baseColWidth="8" defaultColWidth="8.6796875" defaultRowHeight="14.25" zeroHeight="0" outlineLevelRow="0"/>
  <cols>
    <col width="4.73" customWidth="1" style="55" min="1" max="1"/>
    <col width="32.73" customWidth="1" style="55" min="2" max="2"/>
    <col width="16.73" customWidth="1" style="55" min="3" max="3"/>
    <col width="26.67" customWidth="1" style="55" min="4" max="4"/>
    <col width="14.73" customWidth="1" style="55" min="5" max="5"/>
    <col width="29.59" customWidth="1" style="55" min="6" max="6"/>
    <col width="14.73" customWidth="1" style="55" min="7" max="7"/>
    <col width="39.47" customWidth="1" style="55" min="8" max="8"/>
    <col width="14.73" customWidth="1" style="55" min="9" max="14"/>
  </cols>
  <sheetData>
    <row r="2" ht="21" customHeight="1" s="56">
      <c r="B2" s="71" t="inlineStr">
        <is>
          <t>FINANCIAL MODEL 1: IN-HOUSE TDR / UNUTILIZED FAR (HOST OWNED)</t>
        </is>
      </c>
    </row>
    <row r="3" ht="14.25" customHeight="1" s="56">
      <c r="B3" s="72" t="inlineStr">
        <is>
          <t>Joint Venture Structure: Host Contributes Roof Rights &amp; TDR | Developer Injects Equity &amp; Arranges Debt</t>
        </is>
      </c>
    </row>
    <row r="5" ht="14.25" customHeight="1" s="56">
      <c r="B5" s="73" t="inlineStr">
        <is>
          <t>3.1 CAPITAL STACK &amp; JV UNDERWRITING ASSUMPTIONS</t>
        </is>
      </c>
      <c r="C5" s="74" t="n"/>
      <c r="D5" s="75" t="n"/>
      <c r="F5" s="73" t="inlineStr">
        <is>
          <t>3.2 OPERATIONAL REVENUE &amp; OPEX DRIVERS</t>
        </is>
      </c>
      <c r="G5" s="74" t="n"/>
      <c r="H5" s="75" t="n"/>
    </row>
    <row r="6" ht="26.25" customHeight="1" s="56">
      <c r="B6" s="76" t="inlineStr">
        <is>
          <t>Financial Parameter</t>
        </is>
      </c>
      <c r="C6" s="76" t="inlineStr">
        <is>
          <t>Value</t>
        </is>
      </c>
      <c r="D6" s="76" t="inlineStr">
        <is>
          <t>Notes / Source</t>
        </is>
      </c>
      <c r="F6" s="76" t="inlineStr">
        <is>
          <t>Operational Parameter</t>
        </is>
      </c>
      <c r="G6" s="76" t="inlineStr">
        <is>
          <t>Value</t>
        </is>
      </c>
      <c r="H6" s="76" t="inlineStr">
        <is>
          <t>Notes / Justification</t>
        </is>
      </c>
    </row>
    <row r="7" ht="14.25" customHeight="1" s="56">
      <c r="B7" s="79" t="inlineStr">
        <is>
          <t>External TDR Acquisition Cost</t>
        </is>
      </c>
      <c r="C7" s="98" t="n">
        <v>0</v>
      </c>
      <c r="D7" s="79" t="inlineStr">
        <is>
          <t>In-House TDR owned by Host</t>
        </is>
      </c>
      <c r="F7" s="79" t="inlineStr">
        <is>
          <t>Total Bed Capacity</t>
        </is>
      </c>
      <c r="G7" s="94">
        <f>'1. Space Program'!F20</f>
        <v/>
      </c>
      <c r="H7" s="79" t="inlineStr">
        <is>
          <t>68 Beds across 40 Pods</t>
        </is>
      </c>
    </row>
    <row r="8" ht="14.25" customHeight="1" s="56">
      <c r="B8" s="79" t="inlineStr">
        <is>
          <t>Base Construction CapEx (EPC)</t>
        </is>
      </c>
      <c r="C8" s="78">
        <f>'2. CPM Schedule &amp; CapEx'!H30</f>
        <v/>
      </c>
      <c r="D8" s="79" t="inlineStr">
        <is>
          <t>From BOQ Tab</t>
        </is>
      </c>
      <c r="F8" s="79" t="inlineStr">
        <is>
          <t>Blended Monthly Rent / Bed</t>
        </is>
      </c>
      <c r="G8" s="78">
        <f>'1. Space Program'!G20</f>
        <v/>
      </c>
      <c r="H8" s="79" t="inlineStr">
        <is>
          <t>Weighted Avg from Unit Mix</t>
        </is>
      </c>
    </row>
    <row r="9" ht="14.25" customHeight="1" s="56">
      <c r="B9" s="77" t="inlineStr">
        <is>
          <t>Total Project CapEx</t>
        </is>
      </c>
      <c r="C9" s="81">
        <f>C7+C8</f>
        <v/>
      </c>
      <c r="D9" s="79" t="inlineStr">
        <is>
          <t>Base Hard + Soft Costs</t>
        </is>
      </c>
      <c r="F9" s="79" t="inlineStr">
        <is>
          <t>Gross Potential Bed Rental / Month</t>
        </is>
      </c>
      <c r="G9" s="78">
        <f>G7*G8</f>
        <v/>
      </c>
      <c r="H9" s="79" t="inlineStr">
        <is>
          <t>Full Occupancy Base</t>
        </is>
      </c>
    </row>
    <row r="10" ht="14.25" customHeight="1" s="56">
      <c r="B10" s="79" t="inlineStr">
        <is>
          <t>Senior Debt Financing (LTV %)</t>
        </is>
      </c>
      <c r="C10" s="103" t="n">
        <v>0.65</v>
      </c>
      <c r="D10" s="79" t="inlineStr">
        <is>
          <t>65% Commercial Debt</t>
        </is>
      </c>
      <c r="F10" s="79" t="inlineStr">
        <is>
          <t>Monthly Ancillary Revenues</t>
        </is>
      </c>
      <c r="G10" s="98" t="n">
        <v>350000</v>
      </c>
      <c r="H10" s="79" t="inlineStr">
        <is>
          <t>Co-Working passes, Sky-Plaza events, Pickleball, Cafe</t>
        </is>
      </c>
    </row>
    <row r="11" ht="14.25" customHeight="1" s="56">
      <c r="B11" s="79" t="inlineStr">
        <is>
          <t>Sponsor / Developer Equity %</t>
        </is>
      </c>
      <c r="C11" s="82">
        <f>1-C10</f>
        <v/>
      </c>
      <c r="D11" s="79" t="inlineStr">
        <is>
          <t>35% Equity Infusion</t>
        </is>
      </c>
      <c r="F11" s="77" t="inlineStr">
        <is>
          <t>Annual Gross Potential Revenue (GPR)</t>
        </is>
      </c>
      <c r="G11" s="81">
        <f>(G9+G10)*12</f>
        <v/>
      </c>
      <c r="H11" s="79" t="inlineStr">
        <is>
          <t>100% Occupancy Run-Rate</t>
        </is>
      </c>
    </row>
    <row r="12" ht="14.25" customHeight="1" s="56">
      <c r="B12" s="77" t="inlineStr">
        <is>
          <t>Total Senior Loan Amount</t>
        </is>
      </c>
      <c r="C12" s="78">
        <f>C9*C10</f>
        <v/>
      </c>
      <c r="D12" s="79" t="inlineStr">
        <is>
          <t>Bank Construction Facility</t>
        </is>
      </c>
      <c r="F12" s="79" t="inlineStr">
        <is>
          <t>Year 1 Lease-up Occupancy %</t>
        </is>
      </c>
      <c r="G12" s="103" t="n">
        <v>0.8</v>
      </c>
      <c r="H12" s="79" t="inlineStr">
        <is>
          <t>Initial stabilization period</t>
        </is>
      </c>
    </row>
    <row r="13" ht="14.25" customHeight="1" s="56">
      <c r="B13" s="77" t="inlineStr">
        <is>
          <t>Total Developer Equity Required</t>
        </is>
      </c>
      <c r="C13" s="78">
        <f>C9*C11</f>
        <v/>
      </c>
      <c r="D13" s="79" t="inlineStr">
        <is>
          <t>Developer Pocket Outflow</t>
        </is>
      </c>
      <c r="F13" s="79" t="inlineStr">
        <is>
          <t>Stabilized Occupancy % (Yr 2+)</t>
        </is>
      </c>
      <c r="G13" s="103" t="n">
        <v>0.92</v>
      </c>
      <c r="H13" s="79" t="inlineStr">
        <is>
          <t>92% Long-term Occupancy</t>
        </is>
      </c>
    </row>
    <row r="14" ht="14.25" customHeight="1" s="56">
      <c r="B14" s="79" t="inlineStr">
        <is>
          <t>Annual Loan Interest Rate (p.a.)</t>
        </is>
      </c>
      <c r="C14" s="103" t="n">
        <v>0.0975</v>
      </c>
      <c r="D14" s="79" t="inlineStr">
        <is>
          <t>9.75% CRE Priority Green Infill Rate</t>
        </is>
      </c>
      <c r="F14" s="77" t="inlineStr">
        <is>
          <t>Bi-Annual Rental Escalation %</t>
        </is>
      </c>
      <c r="G14" s="103" t="n">
        <v>0.05</v>
      </c>
      <c r="H14" s="79" t="inlineStr">
        <is>
          <t>5.0% Rent Escalation every 2 Yrs</t>
        </is>
      </c>
    </row>
    <row r="15" ht="14.25" customHeight="1" s="56">
      <c r="B15" s="79" t="inlineStr">
        <is>
          <t>Loan Amortization Tenure</t>
        </is>
      </c>
      <c r="C15" s="92" t="n">
        <v>15</v>
      </c>
      <c r="D15" s="79" t="inlineStr">
        <is>
          <t>15-Year Commercial Term Loan</t>
        </is>
      </c>
      <c r="F15" s="79" t="inlineStr">
        <is>
          <t>Operating Expenses (OpEx % of EGR)</t>
        </is>
      </c>
      <c r="G15" s="103" t="n">
        <v>0.28</v>
      </c>
      <c r="H15" s="79" t="inlineStr">
        <is>
          <t>28% (Efficient Single-Site FM, WiFi, Utilities)</t>
        </is>
      </c>
    </row>
    <row r="16" ht="14.25" customHeight="1" s="56">
      <c r="B16" s="79" t="inlineStr">
        <is>
          <t>Developer (GP) JV Share %</t>
        </is>
      </c>
      <c r="C16" s="103" t="n">
        <v>0.6</v>
      </c>
      <c r="D16" s="79" t="inlineStr">
        <is>
          <t>60% Share of Free Cash Flow</t>
        </is>
      </c>
      <c r="F16" s="79" t="inlineStr">
        <is>
          <t>Exit Cap Rate (Terminal Valuation)</t>
        </is>
      </c>
      <c r="G16" s="103" t="n">
        <v>0.08500000000000001</v>
      </c>
      <c r="H16" s="79" t="inlineStr">
        <is>
          <t>8.50% Capitalization Rate</t>
        </is>
      </c>
    </row>
    <row r="17" ht="14.25" customHeight="1" s="56">
      <c r="B17" s="79" t="inlineStr">
        <is>
          <t>Host Owner (LP) JV Share %</t>
        </is>
      </c>
      <c r="C17" s="82">
        <f>1-C16</f>
        <v/>
      </c>
      <c r="D17" s="79" t="inlineStr">
        <is>
          <t>40% Passive Royalty Share</t>
        </is>
      </c>
    </row>
    <row r="19" ht="14.25" customHeight="1" s="56">
      <c r="B19" s="73" t="inlineStr">
        <is>
          <t>3.3 10-YEAR ANNUAL CASH FLOW PROFORMA STATEMENT</t>
        </is>
      </c>
      <c r="C19" s="74" t="n"/>
      <c r="D19" s="74" t="n"/>
      <c r="E19" s="74" t="n"/>
      <c r="F19" s="74" t="n"/>
      <c r="G19" s="74" t="n"/>
      <c r="H19" s="74" t="n"/>
      <c r="I19" s="74" t="n"/>
      <c r="J19" s="74" t="n"/>
      <c r="K19" s="74" t="n"/>
      <c r="L19" s="74" t="n"/>
      <c r="M19" s="74" t="n"/>
      <c r="N19" s="75" t="n"/>
    </row>
    <row r="20" ht="14.25" customHeight="1" s="56">
      <c r="B20" s="76" t="inlineStr">
        <is>
          <t>Line Item / Metric</t>
        </is>
      </c>
      <c r="C20" s="76" t="inlineStr">
        <is>
          <t>Year 0 (Const.)</t>
        </is>
      </c>
      <c r="D20" s="76" t="inlineStr">
        <is>
          <t>Year 1</t>
        </is>
      </c>
      <c r="E20" s="76" t="inlineStr">
        <is>
          <t>Year 2</t>
        </is>
      </c>
      <c r="F20" s="76" t="inlineStr">
        <is>
          <t>Year 3</t>
        </is>
      </c>
      <c r="G20" s="76" t="inlineStr">
        <is>
          <t>Year 4</t>
        </is>
      </c>
      <c r="H20" s="76" t="inlineStr">
        <is>
          <t>Year 5</t>
        </is>
      </c>
      <c r="I20" s="76" t="inlineStr">
        <is>
          <t>Year 6</t>
        </is>
      </c>
      <c r="J20" s="76" t="inlineStr">
        <is>
          <t>Year 7</t>
        </is>
      </c>
      <c r="K20" s="76" t="inlineStr">
        <is>
          <t>Year 8</t>
        </is>
      </c>
      <c r="L20" s="76" t="inlineStr">
        <is>
          <t>Year 9</t>
        </is>
      </c>
      <c r="M20" s="76" t="inlineStr">
        <is>
          <t>Year 10</t>
        </is>
      </c>
    </row>
    <row r="21" ht="14.25" customHeight="1" s="56">
      <c r="B21" s="77" t="inlineStr">
        <is>
          <t>Occupancy Rate (%)</t>
        </is>
      </c>
      <c r="C21" s="102" t="n">
        <v>0</v>
      </c>
      <c r="D21" s="102">
        <f>$G$12</f>
        <v/>
      </c>
      <c r="E21" s="102">
        <f>$G$13</f>
        <v/>
      </c>
      <c r="F21" s="102">
        <f>$G$13</f>
        <v/>
      </c>
      <c r="G21" s="102">
        <f>$G$13</f>
        <v/>
      </c>
      <c r="H21" s="102">
        <f>$G$13</f>
        <v/>
      </c>
      <c r="I21" s="102">
        <f>$G$13</f>
        <v/>
      </c>
      <c r="J21" s="102">
        <f>$G$13</f>
        <v/>
      </c>
      <c r="K21" s="102">
        <f>$G$13</f>
        <v/>
      </c>
      <c r="L21" s="102">
        <f>$G$13</f>
        <v/>
      </c>
      <c r="M21" s="102">
        <f>$G$13</f>
        <v/>
      </c>
      <c r="N21" s="102">
        <f>$G$13</f>
        <v/>
      </c>
    </row>
    <row r="22" ht="14.25" customHeight="1" s="56">
      <c r="B22" s="79" t="inlineStr">
        <is>
          <t>Gross Potential Revenue (GPR)</t>
        </is>
      </c>
      <c r="C22" s="80" t="n">
        <v>0</v>
      </c>
      <c r="D22" s="80">
        <f>$G$11*(1+$G$14)^INT(0/2)</f>
        <v/>
      </c>
      <c r="E22" s="80">
        <f>$G$11*(1+$G$14)^INT(1/2)</f>
        <v/>
      </c>
      <c r="F22" s="80">
        <f>$G$11*(1+$G$14)^INT(2/2)</f>
        <v/>
      </c>
      <c r="G22" s="80">
        <f>$G$11*(1+$G$14)^INT(3/2)</f>
        <v/>
      </c>
      <c r="H22" s="80">
        <f>$G$11*(1+$G$14)^INT(4/2)</f>
        <v/>
      </c>
      <c r="I22" s="80">
        <f>$G$11*(1+$G$14)^INT(5/2)</f>
        <v/>
      </c>
      <c r="J22" s="80">
        <f>$G$11*(1+$G$14)^INT(6/2)</f>
        <v/>
      </c>
      <c r="K22" s="80">
        <f>$G$11*(1+$G$14)^INT(7/2)</f>
        <v/>
      </c>
      <c r="L22" s="80">
        <f>$G$11*(1+$G$14)^INT(8/2)</f>
        <v/>
      </c>
      <c r="M22" s="80">
        <f>$G$11*(1+$G$14)^INT(9/2)</f>
        <v/>
      </c>
    </row>
    <row r="23" ht="14.25" customHeight="1" s="56">
      <c r="B23" s="77" t="inlineStr">
        <is>
          <t>Effective Gross Revenue (EGR)</t>
        </is>
      </c>
      <c r="C23" s="78" t="n">
        <v>0</v>
      </c>
      <c r="D23" s="78">
        <f>D22*D21</f>
        <v/>
      </c>
      <c r="E23" s="78">
        <f>E22*E21</f>
        <v/>
      </c>
      <c r="F23" s="78">
        <f>F22*F21</f>
        <v/>
      </c>
      <c r="G23" s="78">
        <f>G22*G21</f>
        <v/>
      </c>
      <c r="H23" s="78">
        <f>H22*H21</f>
        <v/>
      </c>
      <c r="I23" s="78">
        <f>I22*I21</f>
        <v/>
      </c>
      <c r="J23" s="78">
        <f>J22*J21</f>
        <v/>
      </c>
      <c r="K23" s="78">
        <f>K22*K21</f>
        <v/>
      </c>
      <c r="L23" s="78">
        <f>L22*L21</f>
        <v/>
      </c>
      <c r="M23" s="78">
        <f>M22*M21</f>
        <v/>
      </c>
    </row>
    <row r="24" ht="14.25" customHeight="1" s="56">
      <c r="B24" s="79" t="inlineStr">
        <is>
          <t>Operating Expenses (OpEx @ 28%)</t>
        </is>
      </c>
      <c r="C24" s="80" t="n">
        <v>0</v>
      </c>
      <c r="D24" s="80">
        <f>-D23*$G$15</f>
        <v/>
      </c>
      <c r="E24" s="80">
        <f>-E23*$G$15</f>
        <v/>
      </c>
      <c r="F24" s="80">
        <f>-F23*$G$15</f>
        <v/>
      </c>
      <c r="G24" s="80">
        <f>-G23*$G$15</f>
        <v/>
      </c>
      <c r="H24" s="80">
        <f>-H23*$G$15</f>
        <v/>
      </c>
      <c r="I24" s="80">
        <f>-I23*$G$15</f>
        <v/>
      </c>
      <c r="J24" s="80">
        <f>-J23*$G$15</f>
        <v/>
      </c>
      <c r="K24" s="80">
        <f>-K23*$G$15</f>
        <v/>
      </c>
      <c r="L24" s="80">
        <f>-L23*$G$15</f>
        <v/>
      </c>
      <c r="M24" s="80">
        <f>-M23*$G$15</f>
        <v/>
      </c>
    </row>
    <row r="25" ht="14.25" customHeight="1" s="56">
      <c r="B25" s="100" t="inlineStr">
        <is>
          <t>Net Operating Income (NOI)</t>
        </is>
      </c>
      <c r="C25" s="78" t="n">
        <v>0</v>
      </c>
      <c r="D25" s="81">
        <f>D23+D24</f>
        <v/>
      </c>
      <c r="E25" s="81">
        <f>E23+E24</f>
        <v/>
      </c>
      <c r="F25" s="81">
        <f>F23+F24</f>
        <v/>
      </c>
      <c r="G25" s="81">
        <f>G23+G24</f>
        <v/>
      </c>
      <c r="H25" s="81">
        <f>H23+H24</f>
        <v/>
      </c>
      <c r="I25" s="81">
        <f>I23+I24</f>
        <v/>
      </c>
      <c r="J25" s="81">
        <f>J23+J24</f>
        <v/>
      </c>
      <c r="K25" s="81">
        <f>K23+K24</f>
        <v/>
      </c>
      <c r="L25" s="81">
        <f>L23+L24</f>
        <v/>
      </c>
      <c r="M25" s="81">
        <f>M23+M24</f>
        <v/>
      </c>
    </row>
    <row r="26" ht="14.25" customHeight="1" s="56">
      <c r="B26" s="79" t="inlineStr">
        <is>
          <t>Senior Debt Service (15-Yr Amortizing P&amp;I)</t>
        </is>
      </c>
      <c r="C26" s="80" t="n">
        <v>0</v>
      </c>
      <c r="D26" s="80">
        <f>-PMT($C$14, $C$15, $C$12)</f>
        <v/>
      </c>
      <c r="E26" s="80">
        <f>-PMT($C$14, $C$15, $C$12)</f>
        <v/>
      </c>
      <c r="F26" s="80">
        <f>-PMT($C$14, $C$15, $C$12)</f>
        <v/>
      </c>
      <c r="G26" s="80">
        <f>-PMT($C$14, $C$15, $C$12)</f>
        <v/>
      </c>
      <c r="H26" s="80">
        <f>-PMT($C$14, $C$15, $C$12)</f>
        <v/>
      </c>
      <c r="I26" s="80">
        <f>-PMT($C$14, $C$15, $C$12)</f>
        <v/>
      </c>
      <c r="J26" s="80">
        <f>-PMT($C$14, $C$15, $C$12)</f>
        <v/>
      </c>
      <c r="K26" s="80">
        <f>-PMT($C$14, $C$15, $C$12)</f>
        <v/>
      </c>
      <c r="L26" s="80">
        <f>-PMT($C$14, $C$15, $C$12)</f>
        <v/>
      </c>
      <c r="M26" s="80">
        <f>-PMT($C$14, $C$15, $C$12)</f>
        <v/>
      </c>
    </row>
    <row r="27" ht="14.25" customHeight="1" s="56">
      <c r="B27" s="100" t="inlineStr">
        <is>
          <t>Levered Free Cash Flow (to JV Partners)</t>
        </is>
      </c>
      <c r="C27" s="78">
        <f>-$C$13</f>
        <v/>
      </c>
      <c r="D27" s="85">
        <f>D25-D26</f>
        <v/>
      </c>
      <c r="E27" s="85">
        <f>E25-E26</f>
        <v/>
      </c>
      <c r="F27" s="85">
        <f>F25-F26</f>
        <v/>
      </c>
      <c r="G27" s="85">
        <f>G25-G26</f>
        <v/>
      </c>
      <c r="H27" s="85">
        <f>H25-H26</f>
        <v/>
      </c>
      <c r="I27" s="85">
        <f>I25-I26</f>
        <v/>
      </c>
      <c r="J27" s="85">
        <f>J25-J26</f>
        <v/>
      </c>
      <c r="K27" s="85">
        <f>K25-K26</f>
        <v/>
      </c>
      <c r="L27" s="85">
        <f>L25-L26</f>
        <v/>
      </c>
      <c r="M27" s="85">
        <f>M25-M26+$C$47</f>
        <v/>
      </c>
    </row>
    <row r="28" ht="14.25" customHeight="1" s="56">
      <c r="B28" s="79" t="inlineStr">
        <is>
          <t>Unlevered Free Cash Flow (Project Level)</t>
        </is>
      </c>
      <c r="C28" s="80">
        <f>-$C$9</f>
        <v/>
      </c>
      <c r="D28" s="80">
        <f>D25</f>
        <v/>
      </c>
      <c r="E28" s="80">
        <f>E25</f>
        <v/>
      </c>
      <c r="F28" s="80">
        <f>F25</f>
        <v/>
      </c>
      <c r="G28" s="80">
        <f>G25</f>
        <v/>
      </c>
      <c r="H28" s="80">
        <f>H25</f>
        <v/>
      </c>
      <c r="I28" s="80">
        <f>I25</f>
        <v/>
      </c>
      <c r="J28" s="80">
        <f>J25</f>
        <v/>
      </c>
      <c r="K28" s="80">
        <f>K25</f>
        <v/>
      </c>
      <c r="L28" s="80">
        <f>L25</f>
        <v/>
      </c>
      <c r="M28" s="85">
        <f>M25+$C$45</f>
        <v/>
      </c>
    </row>
    <row r="30" ht="14.25" customHeight="1" s="56">
      <c r="B30" s="73" t="inlineStr">
        <is>
          <t>3.4 JOINT VENTURE WATERFALL CASH FLOW ALLOCATION</t>
        </is>
      </c>
      <c r="C30" s="74" t="n"/>
      <c r="D30" s="74" t="n"/>
      <c r="E30" s="74" t="n"/>
      <c r="F30" s="74" t="n"/>
      <c r="G30" s="74" t="n"/>
      <c r="H30" s="74" t="n"/>
      <c r="I30" s="74" t="n"/>
      <c r="J30" s="74" t="n"/>
      <c r="K30" s="74" t="n"/>
      <c r="L30" s="74" t="n"/>
      <c r="M30" s="74" t="n"/>
      <c r="N30" s="75" t="n"/>
    </row>
    <row r="31" ht="14.25" customHeight="1" s="56">
      <c r="B31" s="76" t="inlineStr">
        <is>
          <t>Line Item / Metric</t>
        </is>
      </c>
      <c r="C31" s="76" t="inlineStr">
        <is>
          <t>Year 0 (Const.)</t>
        </is>
      </c>
      <c r="D31" s="76" t="inlineStr">
        <is>
          <t>Year 1</t>
        </is>
      </c>
      <c r="E31" s="76" t="inlineStr">
        <is>
          <t>Year 2</t>
        </is>
      </c>
      <c r="F31" s="76" t="inlineStr">
        <is>
          <t>Year 3</t>
        </is>
      </c>
      <c r="G31" s="76" t="inlineStr">
        <is>
          <t>Year 4</t>
        </is>
      </c>
      <c r="H31" s="76" t="inlineStr">
        <is>
          <t>Year 5</t>
        </is>
      </c>
      <c r="I31" s="76" t="inlineStr">
        <is>
          <t>Year 6</t>
        </is>
      </c>
      <c r="J31" s="76" t="inlineStr">
        <is>
          <t>Year 7</t>
        </is>
      </c>
      <c r="K31" s="76" t="inlineStr">
        <is>
          <t>Year 8</t>
        </is>
      </c>
      <c r="L31" s="76" t="inlineStr">
        <is>
          <t>Year 9</t>
        </is>
      </c>
      <c r="M31" s="76" t="inlineStr">
        <is>
          <t>Year 10</t>
        </is>
      </c>
    </row>
    <row r="32" ht="14.25" customHeight="1" s="56">
      <c r="B32" s="77" t="inlineStr">
        <is>
          <t>Developer (GP - 60% Free Cash Flow)</t>
        </is>
      </c>
      <c r="C32" s="78">
        <f>-$C$13</f>
        <v/>
      </c>
      <c r="D32" s="80">
        <f>D27*$C$16</f>
        <v/>
      </c>
      <c r="E32" s="80">
        <f>E27*$C$16</f>
        <v/>
      </c>
      <c r="F32" s="80">
        <f>F27*$C$16</f>
        <v/>
      </c>
      <c r="G32" s="80">
        <f>G27*$C$16</f>
        <v/>
      </c>
      <c r="H32" s="80">
        <f>H27*$C$16</f>
        <v/>
      </c>
      <c r="I32" s="80">
        <f>I27*$C$16</f>
        <v/>
      </c>
      <c r="J32" s="80">
        <f>J27*$C$16</f>
        <v/>
      </c>
      <c r="K32" s="80">
        <f>K27*$C$16</f>
        <v/>
      </c>
      <c r="L32" s="80">
        <f>L27*$C$16</f>
        <v/>
      </c>
      <c r="M32" s="80">
        <f>M27*$C$16</f>
        <v/>
      </c>
    </row>
    <row r="33" ht="14.25" customHeight="1" s="56">
      <c r="B33" s="77" t="inlineStr">
        <is>
          <t>Host Owner (LP - 40% Free Cash Flow)</t>
        </is>
      </c>
      <c r="C33" s="80" t="n">
        <v>0</v>
      </c>
      <c r="D33" s="80">
        <f>D27*$C$17</f>
        <v/>
      </c>
      <c r="E33" s="80">
        <f>E27*$C$17</f>
        <v/>
      </c>
      <c r="F33" s="80">
        <f>F27*$C$17</f>
        <v/>
      </c>
      <c r="G33" s="80">
        <f>G27*$C$17</f>
        <v/>
      </c>
      <c r="H33" s="80">
        <f>H27*$C$17</f>
        <v/>
      </c>
      <c r="I33" s="80">
        <f>I27*$C$17</f>
        <v/>
      </c>
      <c r="J33" s="80">
        <f>J27*$C$17</f>
        <v/>
      </c>
      <c r="K33" s="80">
        <f>K27*$C$17</f>
        <v/>
      </c>
      <c r="L33" s="80">
        <f>L27*$C$17</f>
        <v/>
      </c>
      <c r="M33" s="80">
        <f>M27*$C$17</f>
        <v/>
      </c>
    </row>
    <row r="34" ht="14.25" customHeight="1" s="56">
      <c r="B34" s="79" t="inlineStr">
        <is>
          <t>Host Cumulative Cash Realized</t>
        </is>
      </c>
      <c r="C34" s="80" t="n">
        <v>0</v>
      </c>
      <c r="D34" s="78">
        <f>D33</f>
        <v/>
      </c>
      <c r="E34" s="78">
        <f>D34+E33</f>
        <v/>
      </c>
      <c r="F34" s="78">
        <f>E34+F33</f>
        <v/>
      </c>
      <c r="G34" s="78">
        <f>F34+G33</f>
        <v/>
      </c>
      <c r="H34" s="78">
        <f>G34+H33</f>
        <v/>
      </c>
      <c r="I34" s="78">
        <f>H34+I33</f>
        <v/>
      </c>
      <c r="J34" s="78">
        <f>I34+J33</f>
        <v/>
      </c>
      <c r="K34" s="78">
        <f>J34+K33</f>
        <v/>
      </c>
      <c r="L34" s="78">
        <f>K34+L33</f>
        <v/>
      </c>
      <c r="M34" s="78">
        <f>L34+M33</f>
        <v/>
      </c>
      <c r="N34" s="78">
        <f>M34+N33</f>
        <v/>
      </c>
    </row>
    <row r="36" ht="14.25" customHeight="1" s="56">
      <c r="B36" s="73" t="inlineStr">
        <is>
          <t>3.5 RETURN METRICS &amp; DEBT COVENANTS</t>
        </is>
      </c>
      <c r="C36" s="74" t="n"/>
      <c r="D36" s="75" t="n"/>
      <c r="F36" s="73" t="inlineStr">
        <is>
          <t>3.6 10-YEAR SENIOR DEBT AMORTIZATION SCHEDULE (15-YR BASIS)</t>
        </is>
      </c>
      <c r="G36" s="74" t="n"/>
      <c r="H36" s="74" t="n"/>
      <c r="I36" s="74" t="n"/>
      <c r="J36" s="74" t="n"/>
      <c r="K36" s="74" t="n"/>
      <c r="L36" s="75" t="n"/>
    </row>
    <row r="37" ht="26.25" customHeight="1" s="56">
      <c r="B37" s="76" t="inlineStr">
        <is>
          <t>Key Return / Banking Metric</t>
        </is>
      </c>
      <c r="C37" s="76" t="inlineStr">
        <is>
          <t>Value</t>
        </is>
      </c>
      <c r="D37" s="76" t="inlineStr">
        <is>
          <t>Benchmark / Interpretation</t>
        </is>
      </c>
      <c r="F37" s="76" t="inlineStr">
        <is>
          <t>Year</t>
        </is>
      </c>
      <c r="G37" s="76" t="inlineStr">
        <is>
          <t>Beginning Balance (₹)</t>
        </is>
      </c>
      <c r="H37" s="76" t="inlineStr">
        <is>
          <t>Annual Payment (₹)</t>
        </is>
      </c>
      <c r="I37" s="76" t="inlineStr">
        <is>
          <t>Interest Paid (₹)</t>
        </is>
      </c>
      <c r="J37" s="76" t="inlineStr">
        <is>
          <t>Principal Paid (₹)</t>
        </is>
      </c>
      <c r="K37" s="76" t="inlineStr">
        <is>
          <t>Ending Balance (₹)</t>
        </is>
      </c>
      <c r="L37" s="76" t="inlineStr">
        <is>
          <t>DSCR (x)</t>
        </is>
      </c>
    </row>
    <row r="38" ht="14.25" customHeight="1" s="56">
      <c r="B38" s="77" t="inlineStr">
        <is>
          <t>Unlevered Project IRR</t>
        </is>
      </c>
      <c r="C38" s="82">
        <f>IRR(C28:M28)</f>
        <v/>
      </c>
      <c r="D38" s="79" t="inlineStr">
        <is>
          <t>Project Return pre-leverage</t>
        </is>
      </c>
    </row>
    <row r="39" ht="14.25" customHeight="1" s="56">
      <c r="B39" s="77" t="inlineStr">
        <is>
          <t>Levered Project IRR</t>
        </is>
      </c>
      <c r="C39" s="82">
        <f>IRR(C27:M27)</f>
        <v/>
      </c>
      <c r="D39" s="79" t="inlineStr">
        <is>
          <t>Return on Total Equity Invested</t>
        </is>
      </c>
      <c r="F39" s="93" t="inlineStr">
        <is>
          <t>Year 1</t>
        </is>
      </c>
      <c r="G39" s="80">
        <f>$C$12</f>
        <v/>
      </c>
      <c r="H39" s="80">
        <f>-D$26</f>
        <v/>
      </c>
      <c r="I39" s="80">
        <f>G39*$C$14</f>
        <v/>
      </c>
      <c r="J39" s="85">
        <f>H39+I39</f>
        <v/>
      </c>
      <c r="K39" s="85">
        <f>G39+J39</f>
        <v/>
      </c>
      <c r="L39" s="104">
        <f>D$25/D$26</f>
        <v/>
      </c>
    </row>
    <row r="40" ht="14.25" customHeight="1" s="56">
      <c r="B40" s="77" t="inlineStr">
        <is>
          <t>Developer (GP) Equity IRR</t>
        </is>
      </c>
      <c r="C40" s="82">
        <f>IRR(C32:M32)</f>
        <v/>
      </c>
      <c r="D40" s="79" t="inlineStr">
        <is>
          <t>Return on Developer Pocket Capital</t>
        </is>
      </c>
      <c r="F40" s="93" t="inlineStr">
        <is>
          <t>Year 2</t>
        </is>
      </c>
      <c r="G40" s="80">
        <f>K39</f>
        <v/>
      </c>
      <c r="H40" s="80">
        <f>-E$26</f>
        <v/>
      </c>
      <c r="I40" s="80">
        <f>G40*$C$14</f>
        <v/>
      </c>
      <c r="J40" s="85">
        <f>H40+I40</f>
        <v/>
      </c>
      <c r="K40" s="85">
        <f>G40+J40</f>
        <v/>
      </c>
      <c r="L40" s="104">
        <f>E$25/E$26</f>
        <v/>
      </c>
    </row>
    <row r="41" ht="14.25" customHeight="1" s="56">
      <c r="B41" s="77" t="inlineStr">
        <is>
          <t>Developer Equity Multiple (MOIC)</t>
        </is>
      </c>
      <c r="C41" s="83">
        <f>SUM(D32:M32)/(-C32)</f>
        <v/>
      </c>
      <c r="D41" s="79" t="inlineStr">
        <is>
          <t>Total Cash Returned / Equity</t>
        </is>
      </c>
      <c r="F41" s="93" t="inlineStr">
        <is>
          <t>Year 3</t>
        </is>
      </c>
      <c r="G41" s="80">
        <f>K40</f>
        <v/>
      </c>
      <c r="H41" s="80">
        <f>-F$26</f>
        <v/>
      </c>
      <c r="I41" s="80">
        <f>G41*$C$14</f>
        <v/>
      </c>
      <c r="J41" s="85">
        <f>H41+I41</f>
        <v/>
      </c>
      <c r="K41" s="85">
        <f>G41+J41</f>
        <v/>
      </c>
      <c r="L41" s="104">
        <f>F$25/F$26</f>
        <v/>
      </c>
    </row>
    <row r="42" ht="14.25" customHeight="1" s="56">
      <c r="B42" s="77" t="inlineStr">
        <is>
          <t>10-Year Cumulative Host Payout</t>
        </is>
      </c>
      <c r="C42" s="81">
        <f>N34</f>
        <v/>
      </c>
      <c r="D42" s="79" t="inlineStr">
        <is>
          <t>Passive Royalty Earnings</t>
        </is>
      </c>
      <c r="F42" s="93" t="inlineStr">
        <is>
          <t>Year 4</t>
        </is>
      </c>
      <c r="G42" s="80">
        <f>K41</f>
        <v/>
      </c>
      <c r="H42" s="80">
        <f>-G$26</f>
        <v/>
      </c>
      <c r="I42" s="80">
        <f>G42*$C$14</f>
        <v/>
      </c>
      <c r="J42" s="85">
        <f>H42+I42</f>
        <v/>
      </c>
      <c r="K42" s="85">
        <f>G42+J42</f>
        <v/>
      </c>
      <c r="L42" s="104">
        <f>G$25/G$26</f>
        <v/>
      </c>
    </row>
    <row r="43" ht="14.25" customHeight="1" s="56">
      <c r="B43" s="77" t="inlineStr">
        <is>
          <t>Year 2 Stabilized Yield on Cost</t>
        </is>
      </c>
      <c r="C43" s="82">
        <f>E25/C9</f>
        <v/>
      </c>
      <c r="D43" s="79" t="inlineStr">
        <is>
          <t>Stabilized NOI / Total CapEx</t>
        </is>
      </c>
      <c r="F43" s="93" t="inlineStr">
        <is>
          <t>Year 5</t>
        </is>
      </c>
      <c r="G43" s="80">
        <f>K42</f>
        <v/>
      </c>
      <c r="H43" s="80">
        <f>-H$26</f>
        <v/>
      </c>
      <c r="I43" s="80">
        <f>G43*$C$14</f>
        <v/>
      </c>
      <c r="J43" s="85">
        <f>H43+I43</f>
        <v/>
      </c>
      <c r="K43" s="85">
        <f>G43+J43</f>
        <v/>
      </c>
      <c r="L43" s="104">
        <f>H$25/H$26</f>
        <v/>
      </c>
    </row>
    <row r="44" ht="14.25" customHeight="1" s="56">
      <c r="B44" s="77" t="inlineStr">
        <is>
          <t>Year 2 DSCR (Debt Coverage)</t>
        </is>
      </c>
      <c r="C44" s="104">
        <f>E25/E26</f>
        <v/>
      </c>
      <c r="D44" s="79" t="inlineStr">
        <is>
          <t>Min Banking Threshold: 1.25x</t>
        </is>
      </c>
      <c r="F44" s="93" t="inlineStr">
        <is>
          <t>Year 6</t>
        </is>
      </c>
      <c r="G44" s="80">
        <f>K43</f>
        <v/>
      </c>
      <c r="H44" s="80">
        <f>-I$26</f>
        <v/>
      </c>
      <c r="I44" s="80">
        <f>G44*$C$14</f>
        <v/>
      </c>
      <c r="J44" s="85">
        <f>H44+I44</f>
        <v/>
      </c>
      <c r="K44" s="85">
        <f>G44+J44</f>
        <v/>
      </c>
      <c r="L44" s="104">
        <f>I$25/I$26</f>
        <v/>
      </c>
    </row>
    <row r="45" ht="14.25" customHeight="1" s="56">
      <c r="B45" s="77" t="inlineStr">
        <is>
          <t>Terminal Valuation (Yr 10 Exit @ 8.5% Cap)</t>
        </is>
      </c>
      <c r="C45" s="116">
        <f>(M25*(1+G14))/G16</f>
        <v/>
      </c>
      <c r="D45" s="79" t="inlineStr">
        <is>
          <t>Gross Asset Value at Exit</t>
        </is>
      </c>
      <c r="F45" s="93" t="inlineStr">
        <is>
          <t>Year 7</t>
        </is>
      </c>
      <c r="G45" s="80">
        <f>K44</f>
        <v/>
      </c>
      <c r="H45" s="80">
        <f>-J$26</f>
        <v/>
      </c>
      <c r="I45" s="80">
        <f>G45*$C$14</f>
        <v/>
      </c>
      <c r="J45" s="85">
        <f>H45+I45</f>
        <v/>
      </c>
      <c r="K45" s="85">
        <f>G45+J45</f>
        <v/>
      </c>
      <c r="L45" s="104">
        <f>J$25/J$26</f>
        <v/>
      </c>
    </row>
    <row r="46" ht="14.25" customHeight="1" s="56">
      <c r="B46" s="55" t="inlineStr">
        <is>
          <t>Outstanding Senior Loan Balance (Yr 10 Exit)</t>
        </is>
      </c>
      <c r="C46" s="105">
        <f>K48</f>
        <v/>
      </c>
      <c r="D46" s="55" t="inlineStr">
        <is>
          <t>Loan balance still owed to the bank at the assumed Year-10 sale</t>
        </is>
      </c>
      <c r="F46" s="93" t="inlineStr">
        <is>
          <t>Year 8</t>
        </is>
      </c>
      <c r="G46" s="80">
        <f>K45</f>
        <v/>
      </c>
      <c r="H46" s="80">
        <f>-K$26</f>
        <v/>
      </c>
      <c r="I46" s="80">
        <f>G46*$C$14</f>
        <v/>
      </c>
      <c r="J46" s="85">
        <f>H46+I46</f>
        <v/>
      </c>
      <c r="K46" s="85">
        <f>G46+J46</f>
        <v/>
      </c>
      <c r="L46" s="104">
        <f>K$25/K$26</f>
        <v/>
      </c>
    </row>
    <row r="47" ht="14.25" customHeight="1" s="56">
      <c r="B47" s="55" t="inlineStr">
        <is>
          <t>Net Sale Proceeds to Equity (Post Debt Payoff)</t>
        </is>
      </c>
      <c r="C47" s="105">
        <f>C45-C46</f>
        <v/>
      </c>
      <c r="D47" s="55" t="inlineStr">
        <is>
          <t>Gross terminal value less outstanding loan balance; this is what flows to the JV equity waterfall at exit</t>
        </is>
      </c>
      <c r="F47" s="93" t="inlineStr">
        <is>
          <t>Year 9</t>
        </is>
      </c>
      <c r="G47" s="80">
        <f>K46</f>
        <v/>
      </c>
      <c r="H47" s="80">
        <f>-L$26</f>
        <v/>
      </c>
      <c r="I47" s="80">
        <f>G47*$C$14</f>
        <v/>
      </c>
      <c r="J47" s="85">
        <f>H47+I47</f>
        <v/>
      </c>
      <c r="K47" s="85">
        <f>G47+J47</f>
        <v/>
      </c>
      <c r="L47" s="104">
        <f>L$25/L$26</f>
        <v/>
      </c>
    </row>
    <row r="48" ht="14.25" customHeight="1" s="56">
      <c r="F48" s="93" t="inlineStr">
        <is>
          <t>Year 10</t>
        </is>
      </c>
      <c r="G48" s="80">
        <f>K47</f>
        <v/>
      </c>
      <c r="H48" s="80">
        <f>-M$26</f>
        <v/>
      </c>
      <c r="I48" s="80">
        <f>G48*$C$14</f>
        <v/>
      </c>
      <c r="J48" s="85">
        <f>H48+I48</f>
        <v/>
      </c>
      <c r="K48" s="85">
        <f>G48+J48</f>
        <v/>
      </c>
      <c r="L48" s="104">
        <f>M$25/M$26</f>
        <v/>
      </c>
    </row>
  </sheetData>
  <mergeCells count="6">
    <mergeCell ref="F36:L36"/>
    <mergeCell ref="B36:D36"/>
    <mergeCell ref="B5:D5"/>
    <mergeCell ref="F5:H5"/>
    <mergeCell ref="B30:N30"/>
    <mergeCell ref="B19:N19"/>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B2:N4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4.73" customWidth="1" style="55" min="1" max="1"/>
    <col width="32.73" customWidth="1" style="55" min="2" max="2"/>
    <col width="16.73" customWidth="1" style="55" min="3" max="3"/>
    <col width="15.73" customWidth="1" style="55" min="4" max="4"/>
    <col width="14.73" customWidth="1" style="55" min="5" max="14"/>
  </cols>
  <sheetData>
    <row r="2" ht="21" customHeight="1" s="56">
      <c r="B2" s="71" t="inlineStr">
        <is>
          <t>FINANCIAL MODEL 2: EXTERNAL TDR PURCHASE (HYDERABAD MARKET PURCHASE)</t>
        </is>
      </c>
    </row>
    <row r="3" ht="14.25" customHeight="1" s="56">
      <c r="B3" s="72" t="inlineStr">
        <is>
          <t>Joint Venture Structure: Developer Funds External TDR Acquisition + Base Construction | 75/25 JV Split</t>
        </is>
      </c>
    </row>
    <row r="5" ht="14.25" customHeight="1" s="56">
      <c r="B5" s="73" t="inlineStr">
        <is>
          <t>4.1 CAPITAL STACK &amp; JV UNDERWRITING ASSUMPTIONS</t>
        </is>
      </c>
      <c r="C5" s="74" t="n"/>
      <c r="D5" s="75" t="n"/>
      <c r="F5" s="73" t="inlineStr">
        <is>
          <t>4.2 OPERATIONAL REVENUE &amp; OPEX DRIVERS</t>
        </is>
      </c>
      <c r="G5" s="74" t="n"/>
      <c r="H5" s="75" t="n"/>
    </row>
    <row r="6" ht="26.25" customHeight="1" s="56">
      <c r="B6" s="76" t="inlineStr">
        <is>
          <t>Financial Parameter</t>
        </is>
      </c>
      <c r="C6" s="76" t="inlineStr">
        <is>
          <t>Value</t>
        </is>
      </c>
      <c r="D6" s="76" t="inlineStr">
        <is>
          <t>Notes / Source</t>
        </is>
      </c>
      <c r="F6" s="76" t="inlineStr">
        <is>
          <t>Operational Parameter</t>
        </is>
      </c>
      <c r="G6" s="76" t="inlineStr">
        <is>
          <t>Value</t>
        </is>
      </c>
      <c r="H6" s="76" t="inlineStr">
        <is>
          <t>Notes / Justification</t>
        </is>
      </c>
    </row>
    <row r="7" ht="14.25" customHeight="1" s="56">
      <c r="B7" s="79" t="inlineStr">
        <is>
          <t>TDR Market Certificate Rate (₹/sq.ft BUA)</t>
        </is>
      </c>
      <c r="C7" s="98" t="n">
        <v>150</v>
      </c>
      <c r="D7" s="79" t="inlineStr">
        <is>
          <t>TSPA / Bandlaguda Receiving Zone (2026)</t>
        </is>
      </c>
      <c r="F7" s="79" t="inlineStr">
        <is>
          <t>Total Bed Capacity</t>
        </is>
      </c>
      <c r="G7" s="94">
        <f>'1. Space Program'!F20</f>
        <v/>
      </c>
      <c r="H7" s="79" t="inlineStr">
        <is>
          <t>68 Beds across 40 Pods</t>
        </is>
      </c>
    </row>
    <row r="8" ht="14.25" customHeight="1" s="56">
      <c r="B8" s="77" t="inlineStr">
        <is>
          <t>Total External TDR Acquisition Cost</t>
        </is>
      </c>
      <c r="C8" s="78">
        <f>'1. Space Program'!E30*C7</f>
        <v/>
      </c>
      <c r="D8" s="79" t="inlineStr">
        <is>
          <t>30,000 sq.ft BUA * ₹1,200</t>
        </is>
      </c>
      <c r="F8" s="79" t="inlineStr">
        <is>
          <t>Blended Monthly Rent / Bed</t>
        </is>
      </c>
      <c r="G8" s="78">
        <f>'1. Space Program'!G20</f>
        <v/>
      </c>
      <c r="H8" s="79" t="inlineStr">
        <is>
          <t>Weighted Avg from Unit Mix</t>
        </is>
      </c>
    </row>
    <row r="9" ht="14.25" customHeight="1" s="56">
      <c r="B9" s="79" t="inlineStr">
        <is>
          <t>Base Construction CapEx (EPC)</t>
        </is>
      </c>
      <c r="C9" s="78">
        <f>'2. CPM Schedule &amp; CapEx'!H30</f>
        <v/>
      </c>
      <c r="D9" s="79" t="inlineStr">
        <is>
          <t>From BOQ Tab</t>
        </is>
      </c>
      <c r="F9" s="79" t="inlineStr">
        <is>
          <t>Gross Potential Bed Rental / Month</t>
        </is>
      </c>
      <c r="G9" s="78">
        <f>G7*G8</f>
        <v/>
      </c>
      <c r="H9" s="79" t="inlineStr">
        <is>
          <t>Full Occupancy Base</t>
        </is>
      </c>
    </row>
    <row r="10" ht="14.25" customHeight="1" s="56">
      <c r="B10" s="77" t="inlineStr">
        <is>
          <t>Total Turnkey Project CapEx</t>
        </is>
      </c>
      <c r="C10" s="81">
        <f>C8+C9</f>
        <v/>
      </c>
      <c r="D10" s="79" t="inlineStr">
        <is>
          <t>TDR + Hard + Soft Costs</t>
        </is>
      </c>
      <c r="F10" s="79" t="inlineStr">
        <is>
          <t>Monthly Ancillary Revenues</t>
        </is>
      </c>
      <c r="G10" s="98" t="n">
        <v>350000</v>
      </c>
      <c r="H10" s="79" t="inlineStr">
        <is>
          <t>Co-Working passes, Sky-Plaza events, Pickleball, Cafe</t>
        </is>
      </c>
    </row>
    <row r="11" ht="14.25" customHeight="1" s="56">
      <c r="B11" s="79" t="inlineStr">
        <is>
          <t>Senior Debt Financing (LTV %)</t>
        </is>
      </c>
      <c r="C11" s="103" t="n">
        <v>0.65</v>
      </c>
      <c r="D11" s="79" t="inlineStr">
        <is>
          <t>65% Commercial Debt</t>
        </is>
      </c>
      <c r="F11" s="77" t="inlineStr">
        <is>
          <t>Annual Gross Potential Revenue (GPR)</t>
        </is>
      </c>
      <c r="G11" s="81">
        <f>(G9+G10)*12</f>
        <v/>
      </c>
      <c r="H11" s="79" t="inlineStr">
        <is>
          <t>100% Occupancy Run-Rate</t>
        </is>
      </c>
    </row>
    <row r="12" ht="14.25" customHeight="1" s="56">
      <c r="B12" s="79" t="inlineStr">
        <is>
          <t>Sponsor / Developer Equity %</t>
        </is>
      </c>
      <c r="C12" s="82">
        <f>1-C11</f>
        <v/>
      </c>
      <c r="D12" s="79" t="inlineStr">
        <is>
          <t>35% Equity Infusion</t>
        </is>
      </c>
      <c r="F12" s="79" t="inlineStr">
        <is>
          <t>Year 1 Lease-up Occupancy %</t>
        </is>
      </c>
      <c r="G12" s="103" t="n">
        <v>0.8</v>
      </c>
      <c r="H12" s="79" t="inlineStr">
        <is>
          <t>Initial stabilization period</t>
        </is>
      </c>
    </row>
    <row r="13" ht="14.25" customHeight="1" s="56">
      <c r="B13" s="77" t="inlineStr">
        <is>
          <t>Total Senior Loan Amount</t>
        </is>
      </c>
      <c r="C13" s="78">
        <f>C10*C11</f>
        <v/>
      </c>
      <c r="D13" s="79" t="inlineStr">
        <is>
          <t>Bank Construction Facility</t>
        </is>
      </c>
      <c r="F13" s="79" t="inlineStr">
        <is>
          <t>Stabilized Occupancy % (Yr 2+)</t>
        </is>
      </c>
      <c r="G13" s="103" t="n">
        <v>0.92</v>
      </c>
      <c r="H13" s="79" t="inlineStr">
        <is>
          <t>92% Long-term Occupancy</t>
        </is>
      </c>
    </row>
    <row r="14" ht="14.25" customHeight="1" s="56">
      <c r="B14" s="77" t="inlineStr">
        <is>
          <t>Total Developer Equity Required</t>
        </is>
      </c>
      <c r="C14" s="78">
        <f>C10*C12</f>
        <v/>
      </c>
      <c r="D14" s="79" t="inlineStr">
        <is>
          <t>Developer Pocket Outflow</t>
        </is>
      </c>
      <c r="F14" s="77" t="inlineStr">
        <is>
          <t>Bi-Annual Rental Escalation %</t>
        </is>
      </c>
      <c r="G14" s="103" t="n">
        <v>0.05</v>
      </c>
      <c r="H14" s="79" t="inlineStr">
        <is>
          <t>5.0% Rent Escalation every 2 Yrs</t>
        </is>
      </c>
    </row>
    <row r="15" ht="14.25" customHeight="1" s="56">
      <c r="B15" s="79" t="inlineStr">
        <is>
          <t>Annual Loan Interest Rate (p.a.)</t>
        </is>
      </c>
      <c r="C15" s="103" t="n">
        <v>0.0975</v>
      </c>
      <c r="D15" s="79" t="inlineStr">
        <is>
          <t>9.75% CRE Priority Green Infill Rate</t>
        </is>
      </c>
      <c r="F15" s="79" t="inlineStr">
        <is>
          <t>Operating Expenses (OpEx % of EGR)</t>
        </is>
      </c>
      <c r="G15" s="103" t="n">
        <v>0.28</v>
      </c>
      <c r="H15" s="79" t="inlineStr">
        <is>
          <t>28% (Efficient Single-Site FM, WiFi, Utilities)</t>
        </is>
      </c>
    </row>
    <row r="16" ht="14.25" customHeight="1" s="56">
      <c r="B16" s="79" t="inlineStr">
        <is>
          <t>Loan Amortization Tenure</t>
        </is>
      </c>
      <c r="C16" s="92" t="n">
        <v>15</v>
      </c>
      <c r="D16" s="79" t="inlineStr">
        <is>
          <t>15-Year Commercial Term Loan</t>
        </is>
      </c>
      <c r="F16" s="79" t="inlineStr">
        <is>
          <t>Exit Cap Rate (Terminal Valuation)</t>
        </is>
      </c>
      <c r="G16" s="103" t="n">
        <v>0.08500000000000001</v>
      </c>
      <c r="H16" s="79" t="inlineStr">
        <is>
          <t>8.50% Capitalization Rate</t>
        </is>
      </c>
    </row>
    <row r="17" ht="14.25" customHeight="1" s="56">
      <c r="B17" s="79" t="inlineStr">
        <is>
          <t>Developer (GP) JV Share %</t>
        </is>
      </c>
      <c r="C17" s="103" t="n">
        <v>0.75</v>
      </c>
      <c r="D17" s="79" t="inlineStr">
        <is>
          <t>75% Share (Compensating TDR Outflow)</t>
        </is>
      </c>
    </row>
    <row r="18" ht="14.25" customHeight="1" s="56">
      <c r="B18" s="79" t="inlineStr">
        <is>
          <t>Host Owner (LP) JV Share %</t>
        </is>
      </c>
      <c r="C18" s="82">
        <f>1-C17</f>
        <v/>
      </c>
      <c r="D18" s="79" t="inlineStr">
        <is>
          <t>25% Passive Royalty Share</t>
        </is>
      </c>
    </row>
    <row r="20" ht="14.25" customHeight="1" s="56">
      <c r="B20" s="73" t="inlineStr">
        <is>
          <t>4.3 10-YEAR ANNUAL CASH FLOW PROFORMA STATEMENT</t>
        </is>
      </c>
      <c r="C20" s="74" t="n"/>
      <c r="D20" s="74" t="n"/>
      <c r="E20" s="74" t="n"/>
      <c r="F20" s="74" t="n"/>
      <c r="G20" s="74" t="n"/>
      <c r="H20" s="74" t="n"/>
      <c r="I20" s="74" t="n"/>
      <c r="J20" s="74" t="n"/>
      <c r="K20" s="74" t="n"/>
      <c r="L20" s="74" t="n"/>
      <c r="M20" s="74" t="n"/>
      <c r="N20" s="75" t="n"/>
    </row>
    <row r="21" ht="14.25" customHeight="1" s="56">
      <c r="B21" s="76" t="inlineStr">
        <is>
          <t>Line Item / Metric</t>
        </is>
      </c>
      <c r="C21" s="76" t="inlineStr">
        <is>
          <t>Year 0 (Const.)</t>
        </is>
      </c>
      <c r="D21" s="76" t="inlineStr">
        <is>
          <t>Year 1</t>
        </is>
      </c>
      <c r="E21" s="76" t="inlineStr">
        <is>
          <t>Year 2</t>
        </is>
      </c>
      <c r="F21" s="76" t="inlineStr">
        <is>
          <t>Year 3</t>
        </is>
      </c>
      <c r="G21" s="76" t="inlineStr">
        <is>
          <t>Year 4</t>
        </is>
      </c>
      <c r="H21" s="76" t="inlineStr">
        <is>
          <t>Year 5</t>
        </is>
      </c>
      <c r="I21" s="76" t="inlineStr">
        <is>
          <t>Year 6</t>
        </is>
      </c>
      <c r="J21" s="76" t="inlineStr">
        <is>
          <t>Year 7</t>
        </is>
      </c>
      <c r="K21" s="76" t="inlineStr">
        <is>
          <t>Year 8</t>
        </is>
      </c>
      <c r="L21" s="76" t="inlineStr">
        <is>
          <t>Year 9</t>
        </is>
      </c>
      <c r="M21" s="76" t="inlineStr">
        <is>
          <t>Year 10</t>
        </is>
      </c>
    </row>
    <row r="22" ht="14.25" customHeight="1" s="56">
      <c r="B22" s="77" t="inlineStr">
        <is>
          <t>Occupancy Rate (%)</t>
        </is>
      </c>
      <c r="C22" s="102" t="n">
        <v>0</v>
      </c>
      <c r="D22" s="102">
        <f>$G$12</f>
        <v/>
      </c>
      <c r="E22" s="102">
        <f>$G$13</f>
        <v/>
      </c>
      <c r="F22" s="102">
        <f>$G$13</f>
        <v/>
      </c>
      <c r="G22" s="102">
        <f>$G$13</f>
        <v/>
      </c>
      <c r="H22" s="102">
        <f>$G$13</f>
        <v/>
      </c>
      <c r="I22" s="102">
        <f>$G$13</f>
        <v/>
      </c>
      <c r="J22" s="102">
        <f>$G$13</f>
        <v/>
      </c>
      <c r="K22" s="102">
        <f>$G$13</f>
        <v/>
      </c>
      <c r="L22" s="102">
        <f>$G$13</f>
        <v/>
      </c>
      <c r="M22" s="102">
        <f>$G$13</f>
        <v/>
      </c>
      <c r="N22" s="102">
        <f>$G$13</f>
        <v/>
      </c>
    </row>
    <row r="23" ht="14.25" customHeight="1" s="56">
      <c r="B23" s="79" t="inlineStr">
        <is>
          <t>Gross Potential Revenue (GPR)</t>
        </is>
      </c>
      <c r="C23" s="80" t="n">
        <v>0</v>
      </c>
      <c r="D23" s="80">
        <f>$G$11*(1+$G$14)^INT(0/2)</f>
        <v/>
      </c>
      <c r="E23" s="80">
        <f>$G$11*(1+$G$14)^INT(1/2)</f>
        <v/>
      </c>
      <c r="F23" s="80">
        <f>$G$11*(1+$G$14)^INT(2/2)</f>
        <v/>
      </c>
      <c r="G23" s="80">
        <f>$G$11*(1+$G$14)^INT(3/2)</f>
        <v/>
      </c>
      <c r="H23" s="80">
        <f>$G$11*(1+$G$14)^INT(4/2)</f>
        <v/>
      </c>
      <c r="I23" s="80">
        <f>$G$11*(1+$G$14)^INT(5/2)</f>
        <v/>
      </c>
      <c r="J23" s="80">
        <f>$G$11*(1+$G$14)^INT(6/2)</f>
        <v/>
      </c>
      <c r="K23" s="80">
        <f>$G$11*(1+$G$14)^INT(7/2)</f>
        <v/>
      </c>
      <c r="L23" s="80">
        <f>$G$11*(1+$G$14)^INT(8/2)</f>
        <v/>
      </c>
      <c r="M23" s="80">
        <f>$G$11*(1+$G$14)^INT(9/2)</f>
        <v/>
      </c>
    </row>
    <row r="24" ht="14.25" customHeight="1" s="56">
      <c r="B24" s="77" t="inlineStr">
        <is>
          <t>Effective Gross Revenue (EGR)</t>
        </is>
      </c>
      <c r="C24" s="78" t="n">
        <v>0</v>
      </c>
      <c r="D24" s="78">
        <f>D23*D22</f>
        <v/>
      </c>
      <c r="E24" s="78">
        <f>E23*E22</f>
        <v/>
      </c>
      <c r="F24" s="78">
        <f>F23*F22</f>
        <v/>
      </c>
      <c r="G24" s="78">
        <f>G23*G22</f>
        <v/>
      </c>
      <c r="H24" s="78">
        <f>H23*H22</f>
        <v/>
      </c>
      <c r="I24" s="78">
        <f>I23*I22</f>
        <v/>
      </c>
      <c r="J24" s="78">
        <f>J23*J22</f>
        <v/>
      </c>
      <c r="K24" s="78">
        <f>K23*K22</f>
        <v/>
      </c>
      <c r="L24" s="78">
        <f>L23*L22</f>
        <v/>
      </c>
      <c r="M24" s="78">
        <f>M23*M22</f>
        <v/>
      </c>
    </row>
    <row r="25" ht="14.25" customHeight="1" s="56">
      <c r="B25" s="79" t="inlineStr">
        <is>
          <t>Operating Expenses (OpEx @ 28%)</t>
        </is>
      </c>
      <c r="C25" s="80" t="n">
        <v>0</v>
      </c>
      <c r="D25" s="80">
        <f>-D24*$G$15</f>
        <v/>
      </c>
      <c r="E25" s="80">
        <f>-E24*$G$15</f>
        <v/>
      </c>
      <c r="F25" s="80">
        <f>-F24*$G$15</f>
        <v/>
      </c>
      <c r="G25" s="80">
        <f>-G24*$G$15</f>
        <v/>
      </c>
      <c r="H25" s="80">
        <f>-H24*$G$15</f>
        <v/>
      </c>
      <c r="I25" s="80">
        <f>-I24*$G$15</f>
        <v/>
      </c>
      <c r="J25" s="80">
        <f>-J24*$G$15</f>
        <v/>
      </c>
      <c r="K25" s="80">
        <f>-K24*$G$15</f>
        <v/>
      </c>
      <c r="L25" s="80">
        <f>-L24*$G$15</f>
        <v/>
      </c>
      <c r="M25" s="80">
        <f>-M24*$G$15</f>
        <v/>
      </c>
    </row>
    <row r="26" ht="14.25" customHeight="1" s="56">
      <c r="B26" s="100" t="inlineStr">
        <is>
          <t>Net Operating Income (NOI)</t>
        </is>
      </c>
      <c r="C26" s="78" t="n">
        <v>0</v>
      </c>
      <c r="D26" s="81">
        <f>D24+D25</f>
        <v/>
      </c>
      <c r="E26" s="81">
        <f>E24+E25</f>
        <v/>
      </c>
      <c r="F26" s="81">
        <f>F24+F25</f>
        <v/>
      </c>
      <c r="G26" s="81">
        <f>G24+G25</f>
        <v/>
      </c>
      <c r="H26" s="81">
        <f>H24+H25</f>
        <v/>
      </c>
      <c r="I26" s="81">
        <f>I24+I25</f>
        <v/>
      </c>
      <c r="J26" s="81">
        <f>J24+J25</f>
        <v/>
      </c>
      <c r="K26" s="81">
        <f>K24+K25</f>
        <v/>
      </c>
      <c r="L26" s="81">
        <f>L24+L25</f>
        <v/>
      </c>
      <c r="M26" s="81">
        <f>M24+M25</f>
        <v/>
      </c>
    </row>
    <row r="27" ht="14.25" customHeight="1" s="56">
      <c r="B27" s="79" t="inlineStr">
        <is>
          <t>Senior Debt Service (15-Yr Amortizing P&amp;I)</t>
        </is>
      </c>
      <c r="C27" s="80" t="n">
        <v>0</v>
      </c>
      <c r="D27" s="80">
        <f>-PMT($C$15, $C$16, $C$13)</f>
        <v/>
      </c>
      <c r="E27" s="80">
        <f>-PMT($C$15, $C$16, $C$13)</f>
        <v/>
      </c>
      <c r="F27" s="80">
        <f>-PMT($C$15, $C$16, $C$13)</f>
        <v/>
      </c>
      <c r="G27" s="80">
        <f>-PMT($C$15, $C$16, $C$13)</f>
        <v/>
      </c>
      <c r="H27" s="80">
        <f>-PMT($C$15, $C$16, $C$13)</f>
        <v/>
      </c>
      <c r="I27" s="80">
        <f>-PMT($C$15, $C$16, $C$13)</f>
        <v/>
      </c>
      <c r="J27" s="80">
        <f>-PMT($C$15, $C$16, $C$13)</f>
        <v/>
      </c>
      <c r="K27" s="80">
        <f>-PMT($C$15, $C$16, $C$13)</f>
        <v/>
      </c>
      <c r="L27" s="80">
        <f>-PMT($C$15, $C$16, $C$13)</f>
        <v/>
      </c>
      <c r="M27" s="80">
        <f>-PMT($C$15, $C$16, $C$13)</f>
        <v/>
      </c>
    </row>
    <row r="28" ht="14.25" customHeight="1" s="56">
      <c r="B28" s="100" t="inlineStr">
        <is>
          <t>Levered Free Cash Flow (to JV Partners)</t>
        </is>
      </c>
      <c r="C28" s="78">
        <f>-$C$14</f>
        <v/>
      </c>
      <c r="D28" s="85">
        <f>D26-D27</f>
        <v/>
      </c>
      <c r="E28" s="85">
        <f>E26-E27</f>
        <v/>
      </c>
      <c r="F28" s="85">
        <f>F26-F27</f>
        <v/>
      </c>
      <c r="G28" s="85">
        <f>G26-G27</f>
        <v/>
      </c>
      <c r="H28" s="85">
        <f>H26-H27</f>
        <v/>
      </c>
      <c r="I28" s="85">
        <f>I26-I27</f>
        <v/>
      </c>
      <c r="J28" s="85">
        <f>J26-J27</f>
        <v/>
      </c>
      <c r="K28" s="85">
        <f>K26-K27</f>
        <v/>
      </c>
      <c r="L28" s="85">
        <f>L26-L27</f>
        <v/>
      </c>
      <c r="M28" s="85">
        <f>M26-M27+$C$48</f>
        <v/>
      </c>
    </row>
    <row r="29" ht="14.25" customHeight="1" s="56">
      <c r="B29" s="79" t="inlineStr">
        <is>
          <t>Unlevered Free Cash Flow (Project Level)</t>
        </is>
      </c>
      <c r="C29" s="80">
        <f>-$C$10</f>
        <v/>
      </c>
      <c r="D29" s="80">
        <f>D26</f>
        <v/>
      </c>
      <c r="E29" s="80">
        <f>E26</f>
        <v/>
      </c>
      <c r="F29" s="80">
        <f>F26</f>
        <v/>
      </c>
      <c r="G29" s="80">
        <f>G26</f>
        <v/>
      </c>
      <c r="H29" s="80">
        <f>H26</f>
        <v/>
      </c>
      <c r="I29" s="80">
        <f>I26</f>
        <v/>
      </c>
      <c r="J29" s="80">
        <f>J26</f>
        <v/>
      </c>
      <c r="K29" s="80">
        <f>K26</f>
        <v/>
      </c>
      <c r="L29" s="80">
        <f>L26</f>
        <v/>
      </c>
      <c r="M29" s="85">
        <f>M26+$C$46</f>
        <v/>
      </c>
    </row>
    <row r="31" ht="14.25" customHeight="1" s="56">
      <c r="B31" s="73" t="inlineStr">
        <is>
          <t>4.4 JOINT VENTURE WATERFALL CASH FLOW ALLOCATION</t>
        </is>
      </c>
      <c r="C31" s="74" t="n"/>
      <c r="D31" s="74" t="n"/>
      <c r="E31" s="74" t="n"/>
      <c r="F31" s="74" t="n"/>
      <c r="G31" s="74" t="n"/>
      <c r="H31" s="74" t="n"/>
      <c r="I31" s="74" t="n"/>
      <c r="J31" s="74" t="n"/>
      <c r="K31" s="74" t="n"/>
      <c r="L31" s="74" t="n"/>
      <c r="M31" s="74" t="n"/>
      <c r="N31" s="75" t="n"/>
    </row>
    <row r="32" ht="14.25" customHeight="1" s="56">
      <c r="B32" s="76" t="inlineStr">
        <is>
          <t>Line Item / Metric</t>
        </is>
      </c>
      <c r="C32" s="76" t="inlineStr">
        <is>
          <t>Year 0 (Const.)</t>
        </is>
      </c>
      <c r="D32" s="76" t="inlineStr">
        <is>
          <t>Year 1</t>
        </is>
      </c>
      <c r="E32" s="76" t="inlineStr">
        <is>
          <t>Year 2</t>
        </is>
      </c>
      <c r="F32" s="76" t="inlineStr">
        <is>
          <t>Year 3</t>
        </is>
      </c>
      <c r="G32" s="76" t="inlineStr">
        <is>
          <t>Year 4</t>
        </is>
      </c>
      <c r="H32" s="76" t="inlineStr">
        <is>
          <t>Year 5</t>
        </is>
      </c>
      <c r="I32" s="76" t="inlineStr">
        <is>
          <t>Year 6</t>
        </is>
      </c>
      <c r="J32" s="76" t="inlineStr">
        <is>
          <t>Year 7</t>
        </is>
      </c>
      <c r="K32" s="76" t="inlineStr">
        <is>
          <t>Year 8</t>
        </is>
      </c>
      <c r="L32" s="76" t="inlineStr">
        <is>
          <t>Year 9</t>
        </is>
      </c>
      <c r="M32" s="76" t="inlineStr">
        <is>
          <t>Year 10</t>
        </is>
      </c>
    </row>
    <row r="33" ht="14.25" customHeight="1" s="56">
      <c r="B33" s="77" t="inlineStr">
        <is>
          <t>Developer (GP - 75% Free Cash Flow)</t>
        </is>
      </c>
      <c r="C33" s="78">
        <f>-$C$14</f>
        <v/>
      </c>
      <c r="D33" s="80">
        <f>D28*$C$17</f>
        <v/>
      </c>
      <c r="E33" s="80">
        <f>E28*$C$17</f>
        <v/>
      </c>
      <c r="F33" s="80">
        <f>F28*$C$17</f>
        <v/>
      </c>
      <c r="G33" s="80">
        <f>G28*$C$17</f>
        <v/>
      </c>
      <c r="H33" s="80">
        <f>H28*$C$17</f>
        <v/>
      </c>
      <c r="I33" s="80">
        <f>I28*$C$17</f>
        <v/>
      </c>
      <c r="J33" s="80">
        <f>J28*$C$17</f>
        <v/>
      </c>
      <c r="K33" s="80">
        <f>K28*$C$17</f>
        <v/>
      </c>
      <c r="L33" s="80">
        <f>L28*$C$17</f>
        <v/>
      </c>
      <c r="M33" s="80">
        <f>M28*$C$17</f>
        <v/>
      </c>
    </row>
    <row r="34" ht="14.25" customHeight="1" s="56">
      <c r="B34" s="77" t="inlineStr">
        <is>
          <t>Host Owner (LP - 25% Free Cash Flow)</t>
        </is>
      </c>
      <c r="C34" s="80" t="n">
        <v>0</v>
      </c>
      <c r="D34" s="80">
        <f>D28*$C$18</f>
        <v/>
      </c>
      <c r="E34" s="80">
        <f>E28*$C$18</f>
        <v/>
      </c>
      <c r="F34" s="80">
        <f>F28*$C$18</f>
        <v/>
      </c>
      <c r="G34" s="80">
        <f>G28*$C$18</f>
        <v/>
      </c>
      <c r="H34" s="80">
        <f>H28*$C$18</f>
        <v/>
      </c>
      <c r="I34" s="80">
        <f>I28*$C$18</f>
        <v/>
      </c>
      <c r="J34" s="80">
        <f>J28*$C$18</f>
        <v/>
      </c>
      <c r="K34" s="80">
        <f>K28*$C$18</f>
        <v/>
      </c>
      <c r="L34" s="80">
        <f>L28*$C$18</f>
        <v/>
      </c>
      <c r="M34" s="80">
        <f>M28*$C$18</f>
        <v/>
      </c>
    </row>
    <row r="35" ht="14.25" customHeight="1" s="56">
      <c r="B35" s="79" t="inlineStr">
        <is>
          <t>Host Cumulative Cash Realized</t>
        </is>
      </c>
      <c r="C35" s="80" t="n">
        <v>0</v>
      </c>
      <c r="D35" s="78">
        <f>D34</f>
        <v/>
      </c>
      <c r="E35" s="78">
        <f>D35+E34</f>
        <v/>
      </c>
      <c r="F35" s="78">
        <f>E35+F34</f>
        <v/>
      </c>
      <c r="G35" s="78">
        <f>F35+G34</f>
        <v/>
      </c>
      <c r="H35" s="78">
        <f>G35+H34</f>
        <v/>
      </c>
      <c r="I35" s="78">
        <f>H35+I34</f>
        <v/>
      </c>
      <c r="J35" s="78">
        <f>I35+J34</f>
        <v/>
      </c>
      <c r="K35" s="78">
        <f>J35+K34</f>
        <v/>
      </c>
      <c r="L35" s="78">
        <f>K35+L34</f>
        <v/>
      </c>
      <c r="M35" s="78">
        <f>L35+M34</f>
        <v/>
      </c>
      <c r="N35" s="78">
        <f>M35+N34</f>
        <v/>
      </c>
    </row>
    <row r="37" ht="14.25" customHeight="1" s="56">
      <c r="B37" s="73" t="inlineStr">
        <is>
          <t>4.5 RETURN METRICS &amp; DEBT COVENANTS</t>
        </is>
      </c>
      <c r="C37" s="74" t="n"/>
      <c r="D37" s="75" t="n"/>
      <c r="F37" s="73" t="inlineStr">
        <is>
          <t>4.6 10-YEAR SENIOR DEBT AMORTIZATION SCHEDULE (15-YR BASIS)</t>
        </is>
      </c>
      <c r="G37" s="74" t="n"/>
      <c r="H37" s="74" t="n"/>
      <c r="I37" s="74" t="n"/>
      <c r="J37" s="74" t="n"/>
      <c r="K37" s="74" t="n"/>
      <c r="L37" s="75" t="n"/>
    </row>
    <row r="38" ht="26.25" customHeight="1" s="56">
      <c r="B38" s="76" t="inlineStr">
        <is>
          <t>Key Return / Banking Metric</t>
        </is>
      </c>
      <c r="C38" s="76" t="inlineStr">
        <is>
          <t>Value</t>
        </is>
      </c>
      <c r="D38" s="76" t="inlineStr">
        <is>
          <t>Benchmark / Interpretation</t>
        </is>
      </c>
      <c r="F38" s="76" t="inlineStr">
        <is>
          <t>Year</t>
        </is>
      </c>
      <c r="G38" s="76" t="inlineStr">
        <is>
          <t>Beginning Balance (₹)</t>
        </is>
      </c>
      <c r="H38" s="76" t="inlineStr">
        <is>
          <t>Annual Payment (₹)</t>
        </is>
      </c>
      <c r="I38" s="76" t="inlineStr">
        <is>
          <t>Interest Paid (₹)</t>
        </is>
      </c>
      <c r="J38" s="76" t="inlineStr">
        <is>
          <t>Principal Paid (₹)</t>
        </is>
      </c>
      <c r="K38" s="76" t="inlineStr">
        <is>
          <t>Ending Balance (₹)</t>
        </is>
      </c>
      <c r="L38" s="76" t="inlineStr">
        <is>
          <t>DSCR (x)</t>
        </is>
      </c>
    </row>
    <row r="39" ht="14.25" customHeight="1" s="56">
      <c r="B39" s="77" t="inlineStr">
        <is>
          <t>Unlevered Project IRR</t>
        </is>
      </c>
      <c r="C39" s="82">
        <f>IRR(C29:M29)</f>
        <v/>
      </c>
      <c r="D39" s="79" t="inlineStr">
        <is>
          <t>Project Return pre-leverage</t>
        </is>
      </c>
    </row>
    <row r="40" ht="14.25" customHeight="1" s="56">
      <c r="B40" s="77" t="inlineStr">
        <is>
          <t>Levered Project IRR</t>
        </is>
      </c>
      <c r="C40" s="82">
        <f>IRR(C28:M28)</f>
        <v/>
      </c>
      <c r="D40" s="79" t="inlineStr">
        <is>
          <t>Return on Total Equity Invested</t>
        </is>
      </c>
      <c r="F40" s="93" t="inlineStr">
        <is>
          <t>Year 1</t>
        </is>
      </c>
      <c r="G40" s="80">
        <f>$C$13</f>
        <v/>
      </c>
      <c r="H40" s="80">
        <f>-D$27</f>
        <v/>
      </c>
      <c r="I40" s="80">
        <f>G40*$C$15</f>
        <v/>
      </c>
      <c r="J40" s="85">
        <f>H40+I40</f>
        <v/>
      </c>
      <c r="K40" s="85">
        <f>G40+J40</f>
        <v/>
      </c>
      <c r="L40" s="104">
        <f>D$26/D$27</f>
        <v/>
      </c>
    </row>
    <row r="41" ht="14.25" customHeight="1" s="56">
      <c r="B41" s="77" t="inlineStr">
        <is>
          <t>Developer (GP) Equity IRR</t>
        </is>
      </c>
      <c r="C41" s="82">
        <f>IRR(C33:M33)</f>
        <v/>
      </c>
      <c r="D41" s="79" t="inlineStr">
        <is>
          <t>Return on Developer Pocket Capital</t>
        </is>
      </c>
      <c r="F41" s="93" t="inlineStr">
        <is>
          <t>Year 2</t>
        </is>
      </c>
      <c r="G41" s="80">
        <f>K40</f>
        <v/>
      </c>
      <c r="H41" s="80">
        <f>-E$27</f>
        <v/>
      </c>
      <c r="I41" s="80">
        <f>G41*$C$15</f>
        <v/>
      </c>
      <c r="J41" s="85">
        <f>H41+I41</f>
        <v/>
      </c>
      <c r="K41" s="85">
        <f>G41+J41</f>
        <v/>
      </c>
      <c r="L41" s="104">
        <f>E$26/E$27</f>
        <v/>
      </c>
    </row>
    <row r="42" ht="14.25" customHeight="1" s="56">
      <c r="B42" s="77" t="inlineStr">
        <is>
          <t>Developer Equity Multiple (MOIC)</t>
        </is>
      </c>
      <c r="C42" s="83">
        <f>SUM(D33:M33)/(-C33)</f>
        <v/>
      </c>
      <c r="D42" s="79" t="inlineStr">
        <is>
          <t>Total Cash Returned / Equity</t>
        </is>
      </c>
      <c r="F42" s="93" t="inlineStr">
        <is>
          <t>Year 3</t>
        </is>
      </c>
      <c r="G42" s="80">
        <f>K41</f>
        <v/>
      </c>
      <c r="H42" s="80">
        <f>-F$27</f>
        <v/>
      </c>
      <c r="I42" s="80">
        <f>G42*$C$15</f>
        <v/>
      </c>
      <c r="J42" s="85">
        <f>H42+I42</f>
        <v/>
      </c>
      <c r="K42" s="85">
        <f>G42+J42</f>
        <v/>
      </c>
      <c r="L42" s="104">
        <f>F$26/F$27</f>
        <v/>
      </c>
    </row>
    <row r="43" ht="14.25" customHeight="1" s="56">
      <c r="B43" s="77" t="inlineStr">
        <is>
          <t>10-Year Cumulative Host Payout</t>
        </is>
      </c>
      <c r="C43" s="81">
        <f>N35</f>
        <v/>
      </c>
      <c r="D43" s="79" t="inlineStr">
        <is>
          <t>Passive Royalty Earnings</t>
        </is>
      </c>
      <c r="F43" s="93" t="inlineStr">
        <is>
          <t>Year 4</t>
        </is>
      </c>
      <c r="G43" s="80">
        <f>K42</f>
        <v/>
      </c>
      <c r="H43" s="80">
        <f>-G$27</f>
        <v/>
      </c>
      <c r="I43" s="80">
        <f>G43*$C$15</f>
        <v/>
      </c>
      <c r="J43" s="85">
        <f>H43+I43</f>
        <v/>
      </c>
      <c r="K43" s="85">
        <f>G43+J43</f>
        <v/>
      </c>
      <c r="L43" s="104">
        <f>G$26/G$27</f>
        <v/>
      </c>
    </row>
    <row r="44" ht="14.25" customHeight="1" s="56">
      <c r="B44" s="77" t="inlineStr">
        <is>
          <t>Year 2 Stabilized Yield on Cost</t>
        </is>
      </c>
      <c r="C44" s="82">
        <f>E26/C10</f>
        <v/>
      </c>
      <c r="D44" s="79" t="inlineStr">
        <is>
          <t>Stabilized NOI / Total CapEx</t>
        </is>
      </c>
      <c r="F44" s="93" t="inlineStr">
        <is>
          <t>Year 5</t>
        </is>
      </c>
      <c r="G44" s="80">
        <f>K43</f>
        <v/>
      </c>
      <c r="H44" s="80">
        <f>-H$27</f>
        <v/>
      </c>
      <c r="I44" s="80">
        <f>G44*$C$15</f>
        <v/>
      </c>
      <c r="J44" s="85">
        <f>H44+I44</f>
        <v/>
      </c>
      <c r="K44" s="85">
        <f>G44+J44</f>
        <v/>
      </c>
      <c r="L44" s="104">
        <f>H$26/H$27</f>
        <v/>
      </c>
    </row>
    <row r="45" ht="14.25" customHeight="1" s="56">
      <c r="B45" s="77" t="inlineStr">
        <is>
          <t>Year 2 DSCR (Debt Coverage)</t>
        </is>
      </c>
      <c r="C45" s="104">
        <f>E26/E27</f>
        <v/>
      </c>
      <c r="D45" s="79" t="inlineStr">
        <is>
          <t>Min Banking Threshold: 1.25x</t>
        </is>
      </c>
      <c r="F45" s="93" t="inlineStr">
        <is>
          <t>Year 6</t>
        </is>
      </c>
      <c r="G45" s="80">
        <f>K44</f>
        <v/>
      </c>
      <c r="H45" s="80">
        <f>-I$27</f>
        <v/>
      </c>
      <c r="I45" s="80">
        <f>G45*$C$15</f>
        <v/>
      </c>
      <c r="J45" s="85">
        <f>H45+I45</f>
        <v/>
      </c>
      <c r="K45" s="85">
        <f>G45+J45</f>
        <v/>
      </c>
      <c r="L45" s="104">
        <f>I$26/I$27</f>
        <v/>
      </c>
    </row>
    <row r="46" ht="14.25" customHeight="1" s="56">
      <c r="B46" s="77" t="inlineStr">
        <is>
          <t>Terminal Valuation (Yr 10 Exit @ 8.5% Cap)</t>
        </is>
      </c>
      <c r="C46" s="116">
        <f>(M26*(1+G14))/G16</f>
        <v/>
      </c>
      <c r="D46" s="79" t="inlineStr">
        <is>
          <t>Gross Asset Value at Exit</t>
        </is>
      </c>
      <c r="F46" s="93" t="inlineStr">
        <is>
          <t>Year 7</t>
        </is>
      </c>
      <c r="G46" s="80">
        <f>K45</f>
        <v/>
      </c>
      <c r="H46" s="80">
        <f>-J$27</f>
        <v/>
      </c>
      <c r="I46" s="80">
        <f>G46*$C$15</f>
        <v/>
      </c>
      <c r="J46" s="85">
        <f>H46+I46</f>
        <v/>
      </c>
      <c r="K46" s="85">
        <f>G46+J46</f>
        <v/>
      </c>
      <c r="L46" s="104">
        <f>J$26/J$27</f>
        <v/>
      </c>
    </row>
    <row r="47" ht="14.25" customHeight="1" s="56">
      <c r="B47" s="55" t="inlineStr">
        <is>
          <t>Outstanding Senior Loan Balance (Yr 10 Exit)</t>
        </is>
      </c>
      <c r="C47" s="105">
        <f>K49</f>
        <v/>
      </c>
      <c r="D47" s="55" t="inlineStr">
        <is>
          <t>Loan balance still owed to the bank at the assumed Year-10 sale</t>
        </is>
      </c>
      <c r="F47" s="93" t="inlineStr">
        <is>
          <t>Year 8</t>
        </is>
      </c>
      <c r="G47" s="80">
        <f>K46</f>
        <v/>
      </c>
      <c r="H47" s="80">
        <f>-K$27</f>
        <v/>
      </c>
      <c r="I47" s="80">
        <f>G47*$C$15</f>
        <v/>
      </c>
      <c r="J47" s="85">
        <f>H47+I47</f>
        <v/>
      </c>
      <c r="K47" s="85">
        <f>G47+J47</f>
        <v/>
      </c>
      <c r="L47" s="104">
        <f>K$26/K$27</f>
        <v/>
      </c>
    </row>
    <row r="48" ht="14.25" customHeight="1" s="56">
      <c r="B48" s="55" t="inlineStr">
        <is>
          <t>Net Sale Proceeds to Equity (Post Debt Payoff)</t>
        </is>
      </c>
      <c r="C48" s="105">
        <f>C46-C47</f>
        <v/>
      </c>
      <c r="D48" s="55" t="inlineStr">
        <is>
          <t>Gross terminal value less outstanding loan balance; this is what flows to the JV equity waterfall at exit</t>
        </is>
      </c>
      <c r="F48" s="93" t="inlineStr">
        <is>
          <t>Year 9</t>
        </is>
      </c>
      <c r="G48" s="80">
        <f>K47</f>
        <v/>
      </c>
      <c r="H48" s="80">
        <f>-L$27</f>
        <v/>
      </c>
      <c r="I48" s="80">
        <f>G48*$C$15</f>
        <v/>
      </c>
      <c r="J48" s="85">
        <f>H48+I48</f>
        <v/>
      </c>
      <c r="K48" s="85">
        <f>G48+J48</f>
        <v/>
      </c>
      <c r="L48" s="104">
        <f>L$26/L$27</f>
        <v/>
      </c>
    </row>
    <row r="49" ht="14.25" customHeight="1" s="56">
      <c r="F49" s="93" t="inlineStr">
        <is>
          <t>Year 10</t>
        </is>
      </c>
      <c r="G49" s="80">
        <f>K48</f>
        <v/>
      </c>
      <c r="H49" s="80">
        <f>-M$27</f>
        <v/>
      </c>
      <c r="I49" s="80">
        <f>G49*$C$15</f>
        <v/>
      </c>
      <c r="J49" s="85">
        <f>H49+I49</f>
        <v/>
      </c>
      <c r="K49" s="85">
        <f>G49+J49</f>
        <v/>
      </c>
      <c r="L49" s="104">
        <f>M$26/M$27</f>
        <v/>
      </c>
    </row>
  </sheetData>
  <mergeCells count="6">
    <mergeCell ref="B5:D5"/>
    <mergeCell ref="B37:D37"/>
    <mergeCell ref="B31:N31"/>
    <mergeCell ref="F5:H5"/>
    <mergeCell ref="F37:L37"/>
    <mergeCell ref="B20:N20"/>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0"/>
  </sheetPr>
  <dimension ref="B2:Q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4.25" zeroHeight="0" outlineLevelRow="0"/>
  <cols>
    <col width="4.73" customWidth="1" style="55" min="1" max="1"/>
    <col width="32.73" customWidth="1" style="55" min="2" max="2"/>
    <col width="22.73" customWidth="1" style="55" min="3" max="5"/>
    <col width="24.73" customWidth="1" style="55" min="6" max="6"/>
  </cols>
  <sheetData>
    <row r="2" ht="21" customHeight="1" s="56">
      <c r="B2" s="71" t="inlineStr">
        <is>
          <t>OPPORTUNITY COST &amp; SENSITIVITY STRESS-TEST MATRIX</t>
        </is>
      </c>
    </row>
    <row r="3" ht="14.25" customHeight="1" s="56">
      <c r="B3" s="72" t="inlineStr">
        <is>
          <t>Host Decision Analysis: Evaluating Unused Potential vs Outright TDR Sale vs Vertical Extension JV</t>
        </is>
      </c>
    </row>
    <row r="5" ht="14.25" customHeight="1" s="56">
      <c r="B5" s="73" t="inlineStr">
        <is>
          <t>5.1 3-WAY HOST ASSET MONETIZATION DECISION MATRIX</t>
        </is>
      </c>
      <c r="C5" s="74" t="n"/>
      <c r="D5" s="74" t="n"/>
      <c r="E5" s="75" t="n"/>
    </row>
    <row r="6" ht="26.25" customHeight="1" s="56">
      <c r="B6" s="76" t="inlineStr">
        <is>
          <t>Financial Metric / Parameter</t>
        </is>
      </c>
      <c r="C6" s="76" t="inlineStr">
        <is>
          <t>Scenario A: Do Nothing</t>
        </is>
      </c>
      <c r="D6" s="76" t="inlineStr">
        <is>
          <t>Scenario B: Outright TDR Sale</t>
        </is>
      </c>
      <c r="E6" s="76" t="inlineStr">
        <is>
          <t>Scenario C: Vertical Extension JV (Model 1)</t>
        </is>
      </c>
    </row>
    <row r="7" ht="14.25" customHeight="1" s="56">
      <c r="B7" s="79" t="inlineStr">
        <is>
          <t>Immediate Gross Cash Realization</t>
        </is>
      </c>
      <c r="C7" s="80" t="n">
        <v>0</v>
      </c>
      <c r="D7" s="80">
        <f>'4. Model 2 (External TDR)'!C8</f>
        <v/>
      </c>
      <c r="E7" s="80" t="n">
        <v>0</v>
      </c>
    </row>
    <row r="8" ht="14.25" customHeight="1" s="56">
      <c r="B8" s="79" t="inlineStr">
        <is>
          <t>Capital Gains / Transaction Tax (20%)</t>
        </is>
      </c>
      <c r="C8" s="80" t="n">
        <v>0</v>
      </c>
      <c r="D8" s="116">
        <f>-D7*$G$8</f>
        <v/>
      </c>
      <c r="E8" s="80" t="n">
        <v>0</v>
      </c>
      <c r="F8" s="117" t="inlineStr">
        <is>
          <t>Tax Rate Input:</t>
        </is>
      </c>
      <c r="G8" s="118" t="n">
        <v>0.2</v>
      </c>
    </row>
    <row r="9" ht="14.25" customHeight="1" s="56">
      <c r="B9" s="79" t="inlineStr">
        <is>
          <t>Net Upfront Cash in Hand</t>
        </is>
      </c>
      <c r="C9" s="78">
        <f>C7+C8</f>
        <v/>
      </c>
      <c r="D9" s="78">
        <f>D7+D8</f>
        <v/>
      </c>
      <c r="E9" s="78">
        <f>E7+E8</f>
        <v/>
      </c>
    </row>
    <row r="10" ht="14.25" customHeight="1" s="56">
      <c r="B10" s="79" t="inlineStr">
        <is>
          <t>Ongoing Rooftop Maintenance Drag (10 Yrs)</t>
        </is>
      </c>
      <c r="C10" s="80" t="n">
        <v>-1850000</v>
      </c>
      <c r="D10" s="80" t="n">
        <v>0</v>
      </c>
      <c r="E10" s="80" t="n">
        <v>0</v>
      </c>
    </row>
    <row r="11" ht="14.25" customHeight="1" s="56">
      <c r="B11" s="79" t="inlineStr">
        <is>
          <t>10-Year Cumulative Operating Cash Flow</t>
        </is>
      </c>
      <c r="C11" s="81" t="n">
        <v>0</v>
      </c>
      <c r="D11" s="81" t="n">
        <v>0</v>
      </c>
      <c r="E11" s="81">
        <f>'3. Model 1 (In-House TDR)'!C42</f>
        <v/>
      </c>
    </row>
    <row r="12" ht="14.25" customHeight="1" s="56">
      <c r="B12" s="79" t="inlineStr">
        <is>
          <t>Memo: Terminal Exit Value (Host Share) — already included above</t>
        </is>
      </c>
      <c r="C12" s="81" t="n">
        <v>0</v>
      </c>
      <c r="D12" s="81" t="n">
        <v>0</v>
      </c>
      <c r="E12" s="106">
        <f>'3. Model 1 (In-House TDR)'!C47*'3. Model 1 (In-House TDR)'!C17</f>
        <v/>
      </c>
    </row>
    <row r="13" ht="14.25" customHeight="1" s="56">
      <c r="B13" s="77" t="inlineStr">
        <is>
          <t>10-YEAR TOTAL NET WEALTH CREATED</t>
        </is>
      </c>
      <c r="C13" s="85">
        <f>C9+C10+C11</f>
        <v/>
      </c>
      <c r="D13" s="85">
        <f>D9+D10+D11</f>
        <v/>
      </c>
      <c r="E13" s="85">
        <f>E9+E10+E11</f>
        <v/>
      </c>
    </row>
    <row r="14" ht="14.25" customHeight="1" s="56">
      <c r="B14" s="79" t="inlineStr">
        <is>
          <t>Wealth Creation Multiplier vs TDR Sale</t>
        </is>
      </c>
      <c r="C14" s="83">
        <f>C13/$D$13</f>
        <v/>
      </c>
      <c r="D14" s="83">
        <f>D13/$D$13</f>
        <v/>
      </c>
      <c r="E14" s="83">
        <f>E13/$D$13</f>
        <v/>
      </c>
    </row>
    <row r="17" ht="14.25" customHeight="1" s="56">
      <c r="B17" s="73" t="inlineStr">
        <is>
          <t>5.2 2-WAY SENSITIVITY ANALYSIS: LEVERED OPERATING-CF IRR vs OCCUPANCY &amp; RENT (MODEL 1, excl. Year-10 exit — see note below grid)</t>
        </is>
      </c>
      <c r="C17" s="74" t="n"/>
      <c r="D17" s="74" t="n"/>
      <c r="E17" s="74" t="n"/>
      <c r="F17" s="74" t="n"/>
      <c r="G17" s="75" t="n"/>
    </row>
    <row r="18" ht="14.25" customHeight="1" s="56">
      <c r="B18" s="76" t="inlineStr">
        <is>
          <t>Blended Rent / Bed (₹) ↓ | Occupancy →</t>
        </is>
      </c>
      <c r="C18" s="76" t="inlineStr">
        <is>
          <t>80.0%</t>
        </is>
      </c>
      <c r="D18" s="76" t="inlineStr">
        <is>
          <t>85.0%</t>
        </is>
      </c>
      <c r="E18" s="76" t="inlineStr">
        <is>
          <t>90.0%</t>
        </is>
      </c>
      <c r="F18" s="76" t="inlineStr">
        <is>
          <t>92.0% (Base)</t>
        </is>
      </c>
      <c r="G18" s="76" t="inlineStr">
        <is>
          <t>95.0%</t>
        </is>
      </c>
    </row>
    <row r="19" ht="14.25" customHeight="1" s="56">
      <c r="B19" s="77" t="inlineStr">
        <is>
          <t>₹18,000</t>
        </is>
      </c>
      <c r="C19" s="107">
        <f>N28</f>
        <v/>
      </c>
      <c r="D19" s="107">
        <f>N29</f>
        <v/>
      </c>
      <c r="E19" s="107">
        <f>N30</f>
        <v/>
      </c>
      <c r="F19" s="107">
        <f>N31</f>
        <v/>
      </c>
      <c r="G19" s="107">
        <f>N32</f>
        <v/>
      </c>
    </row>
    <row r="20" ht="14.25" customHeight="1" s="56">
      <c r="B20" s="77" t="inlineStr">
        <is>
          <t>₹20,000</t>
        </is>
      </c>
      <c r="C20" s="107">
        <f>N33</f>
        <v/>
      </c>
      <c r="D20" s="107">
        <f>N34</f>
        <v/>
      </c>
      <c r="E20" s="107">
        <f>N35</f>
        <v/>
      </c>
      <c r="F20" s="107">
        <f>N36</f>
        <v/>
      </c>
      <c r="G20" s="107">
        <f>N37</f>
        <v/>
      </c>
    </row>
    <row r="21" ht="14.25" customHeight="1" s="56">
      <c r="B21" s="77" t="inlineStr">
        <is>
          <t>₹22,000</t>
        </is>
      </c>
      <c r="C21" s="107">
        <f>N38</f>
        <v/>
      </c>
      <c r="D21" s="107">
        <f>N39</f>
        <v/>
      </c>
      <c r="E21" s="107">
        <f>N40</f>
        <v/>
      </c>
      <c r="F21" s="107">
        <f>N41</f>
        <v/>
      </c>
      <c r="G21" s="107">
        <f>N42</f>
        <v/>
      </c>
    </row>
    <row r="22" ht="14.25" customHeight="1" s="56">
      <c r="B22" s="77" t="inlineStr">
        <is>
          <t>₹24,000</t>
        </is>
      </c>
      <c r="C22" s="107">
        <f>N43</f>
        <v/>
      </c>
      <c r="D22" s="107">
        <f>N44</f>
        <v/>
      </c>
      <c r="E22" s="107">
        <f>N45</f>
        <v/>
      </c>
      <c r="F22" s="107">
        <f>N46</f>
        <v/>
      </c>
      <c r="G22" s="107">
        <f>N47</f>
        <v/>
      </c>
    </row>
    <row r="23" ht="14.25" customHeight="1" s="56">
      <c r="B23" s="77" t="inlineStr">
        <is>
          <t>₹26,000</t>
        </is>
      </c>
      <c r="C23" s="107">
        <f>N48</f>
        <v/>
      </c>
      <c r="D23" s="107">
        <f>N49</f>
        <v/>
      </c>
      <c r="E23" s="107">
        <f>N50</f>
        <v/>
      </c>
      <c r="F23" s="107">
        <f>N51</f>
        <v/>
      </c>
      <c r="G23" s="107">
        <f>N52</f>
        <v/>
      </c>
    </row>
    <row r="26" ht="15" customHeight="1" s="56">
      <c r="B26" s="59" t="inlineStr">
        <is>
          <t>5.3 SENSITIVITY ENGINE — FULL 10-YEAR CASH-FLOW RECONSTRUCTION (AUDITABLE)</t>
        </is>
      </c>
    </row>
    <row r="27" ht="46.25" customHeight="1" s="56">
      <c r="B27" s="95" t="inlineStr">
        <is>
          <t>Rent / Occupancy Scenario</t>
        </is>
      </c>
      <c r="C27" s="95" t="inlineStr">
        <is>
          <t>Year 0</t>
        </is>
      </c>
      <c r="D27" s="95" t="inlineStr">
        <is>
          <t>Year 1</t>
        </is>
      </c>
      <c r="E27" s="95" t="inlineStr">
        <is>
          <t>Year 2</t>
        </is>
      </c>
      <c r="F27" s="95" t="inlineStr">
        <is>
          <t>Year 3</t>
        </is>
      </c>
      <c r="G27" s="95" t="inlineStr">
        <is>
          <t>Year 4</t>
        </is>
      </c>
      <c r="H27" s="95" t="inlineStr">
        <is>
          <t>Year 5</t>
        </is>
      </c>
      <c r="I27" s="95" t="inlineStr">
        <is>
          <t>Year 6</t>
        </is>
      </c>
      <c r="J27" s="95" t="inlineStr">
        <is>
          <t>Year 7</t>
        </is>
      </c>
      <c r="K27" s="95" t="inlineStr">
        <is>
          <t>Year 8</t>
        </is>
      </c>
      <c r="L27" s="95" t="inlineStr">
        <is>
          <t>Year 9</t>
        </is>
      </c>
      <c r="M27" s="95" t="inlineStr">
        <is>
          <t>Year 10</t>
        </is>
      </c>
      <c r="N27" s="95" t="inlineStr">
        <is>
          <t>Levered IRR (Op. CF only, excl. exit)</t>
        </is>
      </c>
      <c r="P27" s="108" t="inlineStr">
        <is>
          <t>Rent Input (Rs./bed/mo)</t>
        </is>
      </c>
      <c r="Q27" s="108" t="inlineStr">
        <is>
          <t>Occupancy Input</t>
        </is>
      </c>
    </row>
    <row r="28" ht="14.25" customHeight="1" s="56">
      <c r="B28" s="109">
        <f>"Rent ₹"&amp;TEXT(P28,"#,##0")&amp;" @ "&amp;TEXT(Q28,"0%")&amp;" occ."</f>
        <v/>
      </c>
      <c r="C28" s="110">
        <f>-'3. Model 1 (In-House TDR)'!$C$13</f>
        <v/>
      </c>
      <c r="D28" s="111">
        <f>((((('3. Model 1 (In-House TDR)'!$G$7*$P28*12)+('3. Model 1 (In-House TDR)'!$G$10*12))*(1+'3. Model 1 (In-House TDR)'!$G$14)^INT((1-1)/2))*'3. Model 1 (In-House TDR)'!$G$12)*(1-'3. Model 1 (In-House TDR)'!$G$15))-'3. Model 1 (In-House TDR)'!$D$26</f>
        <v/>
      </c>
      <c r="E28" s="111">
        <f>((((('3. Model 1 (In-House TDR)'!$G$7*$P28*12)+('3. Model 1 (In-House TDR)'!$G$10*12))*(1+'3. Model 1 (In-House TDR)'!$G$14)^INT((2-1)/2))*$Q28)*(1-'3. Model 1 (In-House TDR)'!$G$15))-'3. Model 1 (In-House TDR)'!$D$26</f>
        <v/>
      </c>
      <c r="F28" s="111">
        <f>((((('3. Model 1 (In-House TDR)'!$G$7*$P28*12)+('3. Model 1 (In-House TDR)'!$G$10*12))*(1+'3. Model 1 (In-House TDR)'!$G$14)^INT((3-1)/2))*$Q28)*(1-'3. Model 1 (In-House TDR)'!$G$15))-'3. Model 1 (In-House TDR)'!$D$26</f>
        <v/>
      </c>
      <c r="G28" s="111">
        <f>((((('3. Model 1 (In-House TDR)'!$G$7*$P28*12)+('3. Model 1 (In-House TDR)'!$G$10*12))*(1+'3. Model 1 (In-House TDR)'!$G$14)^INT((4-1)/2))*$Q28)*(1-'3. Model 1 (In-House TDR)'!$G$15))-'3. Model 1 (In-House TDR)'!$D$26</f>
        <v/>
      </c>
      <c r="H28" s="111">
        <f>((((('3. Model 1 (In-House TDR)'!$G$7*$P28*12)+('3. Model 1 (In-House TDR)'!$G$10*12))*(1+'3. Model 1 (In-House TDR)'!$G$14)^INT((5-1)/2))*$Q28)*(1-'3. Model 1 (In-House TDR)'!$G$15))-'3. Model 1 (In-House TDR)'!$D$26</f>
        <v/>
      </c>
      <c r="I28" s="111">
        <f>((((('3. Model 1 (In-House TDR)'!$G$7*$P28*12)+('3. Model 1 (In-House TDR)'!$G$10*12))*(1+'3. Model 1 (In-House TDR)'!$G$14)^INT((6-1)/2))*$Q28)*(1-'3. Model 1 (In-House TDR)'!$G$15))-'3. Model 1 (In-House TDR)'!$D$26</f>
        <v/>
      </c>
      <c r="J28" s="111">
        <f>((((('3. Model 1 (In-House TDR)'!$G$7*$P28*12)+('3. Model 1 (In-House TDR)'!$G$10*12))*(1+'3. Model 1 (In-House TDR)'!$G$14)^INT((7-1)/2))*$Q28)*(1-'3. Model 1 (In-House TDR)'!$G$15))-'3. Model 1 (In-House TDR)'!$D$26</f>
        <v/>
      </c>
      <c r="K28" s="111">
        <f>((((('3. Model 1 (In-House TDR)'!$G$7*$P28*12)+('3. Model 1 (In-House TDR)'!$G$10*12))*(1+'3. Model 1 (In-House TDR)'!$G$14)^INT((8-1)/2))*$Q28)*(1-'3. Model 1 (In-House TDR)'!$G$15))-'3. Model 1 (In-House TDR)'!$D$26</f>
        <v/>
      </c>
      <c r="L28" s="111">
        <f>((((('3. Model 1 (In-House TDR)'!$G$7*$P28*12)+('3. Model 1 (In-House TDR)'!$G$10*12))*(1+'3. Model 1 (In-House TDR)'!$G$14)^INT((9-1)/2))*$Q28)*(1-'3. Model 1 (In-House TDR)'!$G$15))-'3. Model 1 (In-House TDR)'!$D$26</f>
        <v/>
      </c>
      <c r="M28" s="111">
        <f>((((('3. Model 1 (In-House TDR)'!$G$7*$P28*12)+('3. Model 1 (In-House TDR)'!$G$10*12))*(1+'3. Model 1 (In-House TDR)'!$G$14)^INT((10-1)/2))*$Q28)*(1-'3. Model 1 (In-House TDR)'!$G$15))-'3. Model 1 (In-House TDR)'!$D$26</f>
        <v/>
      </c>
      <c r="N28" s="112">
        <f>IRR(C28:M28)</f>
        <v/>
      </c>
      <c r="P28" s="113" t="n">
        <v>18000</v>
      </c>
      <c r="Q28" s="114" t="n">
        <v>0.8</v>
      </c>
    </row>
    <row r="29" ht="14.25" customHeight="1" s="56">
      <c r="B29" s="109">
        <f>"Rent ₹"&amp;TEXT(P29,"#,##0")&amp;" @ "&amp;TEXT(Q29,"0%")&amp;" occ."</f>
        <v/>
      </c>
      <c r="C29" s="110">
        <f>-'3. Model 1 (In-House TDR)'!$C$13</f>
        <v/>
      </c>
      <c r="D29" s="111">
        <f>((((('3. Model 1 (In-House TDR)'!$G$7*$P29*12)+('3. Model 1 (In-House TDR)'!$G$10*12))*(1+'3. Model 1 (In-House TDR)'!$G$14)^INT((1-1)/2))*'3. Model 1 (In-House TDR)'!$G$12)*(1-'3. Model 1 (In-House TDR)'!$G$15))-'3. Model 1 (In-House TDR)'!$D$26</f>
        <v/>
      </c>
      <c r="E29" s="111">
        <f>((((('3. Model 1 (In-House TDR)'!$G$7*$P29*12)+('3. Model 1 (In-House TDR)'!$G$10*12))*(1+'3. Model 1 (In-House TDR)'!$G$14)^INT((2-1)/2))*$Q29)*(1-'3. Model 1 (In-House TDR)'!$G$15))-'3. Model 1 (In-House TDR)'!$D$26</f>
        <v/>
      </c>
      <c r="F29" s="111">
        <f>((((('3. Model 1 (In-House TDR)'!$G$7*$P29*12)+('3. Model 1 (In-House TDR)'!$G$10*12))*(1+'3. Model 1 (In-House TDR)'!$G$14)^INT((3-1)/2))*$Q29)*(1-'3. Model 1 (In-House TDR)'!$G$15))-'3. Model 1 (In-House TDR)'!$D$26</f>
        <v/>
      </c>
      <c r="G29" s="111">
        <f>((((('3. Model 1 (In-House TDR)'!$G$7*$P29*12)+('3. Model 1 (In-House TDR)'!$G$10*12))*(1+'3. Model 1 (In-House TDR)'!$G$14)^INT((4-1)/2))*$Q29)*(1-'3. Model 1 (In-House TDR)'!$G$15))-'3. Model 1 (In-House TDR)'!$D$26</f>
        <v/>
      </c>
      <c r="H29" s="111">
        <f>((((('3. Model 1 (In-House TDR)'!$G$7*$P29*12)+('3. Model 1 (In-House TDR)'!$G$10*12))*(1+'3. Model 1 (In-House TDR)'!$G$14)^INT((5-1)/2))*$Q29)*(1-'3. Model 1 (In-House TDR)'!$G$15))-'3. Model 1 (In-House TDR)'!$D$26</f>
        <v/>
      </c>
      <c r="I29" s="111">
        <f>((((('3. Model 1 (In-House TDR)'!$G$7*$P29*12)+('3. Model 1 (In-House TDR)'!$G$10*12))*(1+'3. Model 1 (In-House TDR)'!$G$14)^INT((6-1)/2))*$Q29)*(1-'3. Model 1 (In-House TDR)'!$G$15))-'3. Model 1 (In-House TDR)'!$D$26</f>
        <v/>
      </c>
      <c r="J29" s="111">
        <f>((((('3. Model 1 (In-House TDR)'!$G$7*$P29*12)+('3. Model 1 (In-House TDR)'!$G$10*12))*(1+'3. Model 1 (In-House TDR)'!$G$14)^INT((7-1)/2))*$Q29)*(1-'3. Model 1 (In-House TDR)'!$G$15))-'3. Model 1 (In-House TDR)'!$D$26</f>
        <v/>
      </c>
      <c r="K29" s="111">
        <f>((((('3. Model 1 (In-House TDR)'!$G$7*$P29*12)+('3. Model 1 (In-House TDR)'!$G$10*12))*(1+'3. Model 1 (In-House TDR)'!$G$14)^INT((8-1)/2))*$Q29)*(1-'3. Model 1 (In-House TDR)'!$G$15))-'3. Model 1 (In-House TDR)'!$D$26</f>
        <v/>
      </c>
      <c r="L29" s="111">
        <f>((((('3. Model 1 (In-House TDR)'!$G$7*$P29*12)+('3. Model 1 (In-House TDR)'!$G$10*12))*(1+'3. Model 1 (In-House TDR)'!$G$14)^INT((9-1)/2))*$Q29)*(1-'3. Model 1 (In-House TDR)'!$G$15))-'3. Model 1 (In-House TDR)'!$D$26</f>
        <v/>
      </c>
      <c r="M29" s="111">
        <f>((((('3. Model 1 (In-House TDR)'!$G$7*$P29*12)+('3. Model 1 (In-House TDR)'!$G$10*12))*(1+'3. Model 1 (In-House TDR)'!$G$14)^INT((10-1)/2))*$Q29)*(1-'3. Model 1 (In-House TDR)'!$G$15))-'3. Model 1 (In-House TDR)'!$D$26</f>
        <v/>
      </c>
      <c r="N29" s="112">
        <f>IRR(C29:M29)</f>
        <v/>
      </c>
      <c r="P29" s="113" t="n">
        <v>18000</v>
      </c>
      <c r="Q29" s="114" t="n">
        <v>0.85</v>
      </c>
    </row>
    <row r="30" ht="14.25" customHeight="1" s="56">
      <c r="B30" s="109">
        <f>"Rent ₹"&amp;TEXT(P30,"#,##0")&amp;" @ "&amp;TEXT(Q30,"0%")&amp;" occ."</f>
        <v/>
      </c>
      <c r="C30" s="110">
        <f>-'3. Model 1 (In-House TDR)'!$C$13</f>
        <v/>
      </c>
      <c r="D30" s="111">
        <f>((((('3. Model 1 (In-House TDR)'!$G$7*$P30*12)+('3. Model 1 (In-House TDR)'!$G$10*12))*(1+'3. Model 1 (In-House TDR)'!$G$14)^INT((1-1)/2))*'3. Model 1 (In-House TDR)'!$G$12)*(1-'3. Model 1 (In-House TDR)'!$G$15))-'3. Model 1 (In-House TDR)'!$D$26</f>
        <v/>
      </c>
      <c r="E30" s="111">
        <f>((((('3. Model 1 (In-House TDR)'!$G$7*$P30*12)+('3. Model 1 (In-House TDR)'!$G$10*12))*(1+'3. Model 1 (In-House TDR)'!$G$14)^INT((2-1)/2))*$Q30)*(1-'3. Model 1 (In-House TDR)'!$G$15))-'3. Model 1 (In-House TDR)'!$D$26</f>
        <v/>
      </c>
      <c r="F30" s="111">
        <f>((((('3. Model 1 (In-House TDR)'!$G$7*$P30*12)+('3. Model 1 (In-House TDR)'!$G$10*12))*(1+'3. Model 1 (In-House TDR)'!$G$14)^INT((3-1)/2))*$Q30)*(1-'3. Model 1 (In-House TDR)'!$G$15))-'3. Model 1 (In-House TDR)'!$D$26</f>
        <v/>
      </c>
      <c r="G30" s="111">
        <f>((((('3. Model 1 (In-House TDR)'!$G$7*$P30*12)+('3. Model 1 (In-House TDR)'!$G$10*12))*(1+'3. Model 1 (In-House TDR)'!$G$14)^INT((4-1)/2))*$Q30)*(1-'3. Model 1 (In-House TDR)'!$G$15))-'3. Model 1 (In-House TDR)'!$D$26</f>
        <v/>
      </c>
      <c r="H30" s="111">
        <f>((((('3. Model 1 (In-House TDR)'!$G$7*$P30*12)+('3. Model 1 (In-House TDR)'!$G$10*12))*(1+'3. Model 1 (In-House TDR)'!$G$14)^INT((5-1)/2))*$Q30)*(1-'3. Model 1 (In-House TDR)'!$G$15))-'3. Model 1 (In-House TDR)'!$D$26</f>
        <v/>
      </c>
      <c r="I30" s="111">
        <f>((((('3. Model 1 (In-House TDR)'!$G$7*$P30*12)+('3. Model 1 (In-House TDR)'!$G$10*12))*(1+'3. Model 1 (In-House TDR)'!$G$14)^INT((6-1)/2))*$Q30)*(1-'3. Model 1 (In-House TDR)'!$G$15))-'3. Model 1 (In-House TDR)'!$D$26</f>
        <v/>
      </c>
      <c r="J30" s="111">
        <f>((((('3. Model 1 (In-House TDR)'!$G$7*$P30*12)+('3. Model 1 (In-House TDR)'!$G$10*12))*(1+'3. Model 1 (In-House TDR)'!$G$14)^INT((7-1)/2))*$Q30)*(1-'3. Model 1 (In-House TDR)'!$G$15))-'3. Model 1 (In-House TDR)'!$D$26</f>
        <v/>
      </c>
      <c r="K30" s="111">
        <f>((((('3. Model 1 (In-House TDR)'!$G$7*$P30*12)+('3. Model 1 (In-House TDR)'!$G$10*12))*(1+'3. Model 1 (In-House TDR)'!$G$14)^INT((8-1)/2))*$Q30)*(1-'3. Model 1 (In-House TDR)'!$G$15))-'3. Model 1 (In-House TDR)'!$D$26</f>
        <v/>
      </c>
      <c r="L30" s="111">
        <f>((((('3. Model 1 (In-House TDR)'!$G$7*$P30*12)+('3. Model 1 (In-House TDR)'!$G$10*12))*(1+'3. Model 1 (In-House TDR)'!$G$14)^INT((9-1)/2))*$Q30)*(1-'3. Model 1 (In-House TDR)'!$G$15))-'3. Model 1 (In-House TDR)'!$D$26</f>
        <v/>
      </c>
      <c r="M30" s="111">
        <f>((((('3. Model 1 (In-House TDR)'!$G$7*$P30*12)+('3. Model 1 (In-House TDR)'!$G$10*12))*(1+'3. Model 1 (In-House TDR)'!$G$14)^INT((10-1)/2))*$Q30)*(1-'3. Model 1 (In-House TDR)'!$G$15))-'3. Model 1 (In-House TDR)'!$D$26</f>
        <v/>
      </c>
      <c r="N30" s="112">
        <f>IRR(C30:M30)</f>
        <v/>
      </c>
      <c r="P30" s="113" t="n">
        <v>18000</v>
      </c>
      <c r="Q30" s="114" t="n">
        <v>0.9</v>
      </c>
    </row>
    <row r="31" ht="14.25" customHeight="1" s="56">
      <c r="B31" s="109">
        <f>"Rent ₹"&amp;TEXT(P31,"#,##0")&amp;" @ "&amp;TEXT(Q31,"0%")&amp;" occ."</f>
        <v/>
      </c>
      <c r="C31" s="110">
        <f>-'3. Model 1 (In-House TDR)'!$C$13</f>
        <v/>
      </c>
      <c r="D31" s="111">
        <f>((((('3. Model 1 (In-House TDR)'!$G$7*$P31*12)+('3. Model 1 (In-House TDR)'!$G$10*12))*(1+'3. Model 1 (In-House TDR)'!$G$14)^INT((1-1)/2))*'3. Model 1 (In-House TDR)'!$G$12)*(1-'3. Model 1 (In-House TDR)'!$G$15))-'3. Model 1 (In-House TDR)'!$D$26</f>
        <v/>
      </c>
      <c r="E31" s="111">
        <f>((((('3. Model 1 (In-House TDR)'!$G$7*$P31*12)+('3. Model 1 (In-House TDR)'!$G$10*12))*(1+'3. Model 1 (In-House TDR)'!$G$14)^INT((2-1)/2))*$Q31)*(1-'3. Model 1 (In-House TDR)'!$G$15))-'3. Model 1 (In-House TDR)'!$D$26</f>
        <v/>
      </c>
      <c r="F31" s="111">
        <f>((((('3. Model 1 (In-House TDR)'!$G$7*$P31*12)+('3. Model 1 (In-House TDR)'!$G$10*12))*(1+'3. Model 1 (In-House TDR)'!$G$14)^INT((3-1)/2))*$Q31)*(1-'3. Model 1 (In-House TDR)'!$G$15))-'3. Model 1 (In-House TDR)'!$D$26</f>
        <v/>
      </c>
      <c r="G31" s="111">
        <f>((((('3. Model 1 (In-House TDR)'!$G$7*$P31*12)+('3. Model 1 (In-House TDR)'!$G$10*12))*(1+'3. Model 1 (In-House TDR)'!$G$14)^INT((4-1)/2))*$Q31)*(1-'3. Model 1 (In-House TDR)'!$G$15))-'3. Model 1 (In-House TDR)'!$D$26</f>
        <v/>
      </c>
      <c r="H31" s="111">
        <f>((((('3. Model 1 (In-House TDR)'!$G$7*$P31*12)+('3. Model 1 (In-House TDR)'!$G$10*12))*(1+'3. Model 1 (In-House TDR)'!$G$14)^INT((5-1)/2))*$Q31)*(1-'3. Model 1 (In-House TDR)'!$G$15))-'3. Model 1 (In-House TDR)'!$D$26</f>
        <v/>
      </c>
      <c r="I31" s="111">
        <f>((((('3. Model 1 (In-House TDR)'!$G$7*$P31*12)+('3. Model 1 (In-House TDR)'!$G$10*12))*(1+'3. Model 1 (In-House TDR)'!$G$14)^INT((6-1)/2))*$Q31)*(1-'3. Model 1 (In-House TDR)'!$G$15))-'3. Model 1 (In-House TDR)'!$D$26</f>
        <v/>
      </c>
      <c r="J31" s="111">
        <f>((((('3. Model 1 (In-House TDR)'!$G$7*$P31*12)+('3. Model 1 (In-House TDR)'!$G$10*12))*(1+'3. Model 1 (In-House TDR)'!$G$14)^INT((7-1)/2))*$Q31)*(1-'3. Model 1 (In-House TDR)'!$G$15))-'3. Model 1 (In-House TDR)'!$D$26</f>
        <v/>
      </c>
      <c r="K31" s="111">
        <f>((((('3. Model 1 (In-House TDR)'!$G$7*$P31*12)+('3. Model 1 (In-House TDR)'!$G$10*12))*(1+'3. Model 1 (In-House TDR)'!$G$14)^INT((8-1)/2))*$Q31)*(1-'3. Model 1 (In-House TDR)'!$G$15))-'3. Model 1 (In-House TDR)'!$D$26</f>
        <v/>
      </c>
      <c r="L31" s="111">
        <f>((((('3. Model 1 (In-House TDR)'!$G$7*$P31*12)+('3. Model 1 (In-House TDR)'!$G$10*12))*(1+'3. Model 1 (In-House TDR)'!$G$14)^INT((9-1)/2))*$Q31)*(1-'3. Model 1 (In-House TDR)'!$G$15))-'3. Model 1 (In-House TDR)'!$D$26</f>
        <v/>
      </c>
      <c r="M31" s="111">
        <f>((((('3. Model 1 (In-House TDR)'!$G$7*$P31*12)+('3. Model 1 (In-House TDR)'!$G$10*12))*(1+'3. Model 1 (In-House TDR)'!$G$14)^INT((10-1)/2))*$Q31)*(1-'3. Model 1 (In-House TDR)'!$G$15))-'3. Model 1 (In-House TDR)'!$D$26</f>
        <v/>
      </c>
      <c r="N31" s="112">
        <f>IRR(C31:M31)</f>
        <v/>
      </c>
      <c r="P31" s="113" t="n">
        <v>18000</v>
      </c>
      <c r="Q31" s="114" t="n">
        <v>0.92</v>
      </c>
    </row>
    <row r="32" ht="14.25" customHeight="1" s="56">
      <c r="B32" s="109">
        <f>"Rent ₹"&amp;TEXT(P32,"#,##0")&amp;" @ "&amp;TEXT(Q32,"0%")&amp;" occ."</f>
        <v/>
      </c>
      <c r="C32" s="110">
        <f>-'3. Model 1 (In-House TDR)'!$C$13</f>
        <v/>
      </c>
      <c r="D32" s="111">
        <f>((((('3. Model 1 (In-House TDR)'!$G$7*$P32*12)+('3. Model 1 (In-House TDR)'!$G$10*12))*(1+'3. Model 1 (In-House TDR)'!$G$14)^INT((1-1)/2))*'3. Model 1 (In-House TDR)'!$G$12)*(1-'3. Model 1 (In-House TDR)'!$G$15))-'3. Model 1 (In-House TDR)'!$D$26</f>
        <v/>
      </c>
      <c r="E32" s="111">
        <f>((((('3. Model 1 (In-House TDR)'!$G$7*$P32*12)+('3. Model 1 (In-House TDR)'!$G$10*12))*(1+'3. Model 1 (In-House TDR)'!$G$14)^INT((2-1)/2))*$Q32)*(1-'3. Model 1 (In-House TDR)'!$G$15))-'3. Model 1 (In-House TDR)'!$D$26</f>
        <v/>
      </c>
      <c r="F32" s="111">
        <f>((((('3. Model 1 (In-House TDR)'!$G$7*$P32*12)+('3. Model 1 (In-House TDR)'!$G$10*12))*(1+'3. Model 1 (In-House TDR)'!$G$14)^INT((3-1)/2))*$Q32)*(1-'3. Model 1 (In-House TDR)'!$G$15))-'3. Model 1 (In-House TDR)'!$D$26</f>
        <v/>
      </c>
      <c r="G32" s="111">
        <f>((((('3. Model 1 (In-House TDR)'!$G$7*$P32*12)+('3. Model 1 (In-House TDR)'!$G$10*12))*(1+'3. Model 1 (In-House TDR)'!$G$14)^INT((4-1)/2))*$Q32)*(1-'3. Model 1 (In-House TDR)'!$G$15))-'3. Model 1 (In-House TDR)'!$D$26</f>
        <v/>
      </c>
      <c r="H32" s="111">
        <f>((((('3. Model 1 (In-House TDR)'!$G$7*$P32*12)+('3. Model 1 (In-House TDR)'!$G$10*12))*(1+'3. Model 1 (In-House TDR)'!$G$14)^INT((5-1)/2))*$Q32)*(1-'3. Model 1 (In-House TDR)'!$G$15))-'3. Model 1 (In-House TDR)'!$D$26</f>
        <v/>
      </c>
      <c r="I32" s="111">
        <f>((((('3. Model 1 (In-House TDR)'!$G$7*$P32*12)+('3. Model 1 (In-House TDR)'!$G$10*12))*(1+'3. Model 1 (In-House TDR)'!$G$14)^INT((6-1)/2))*$Q32)*(1-'3. Model 1 (In-House TDR)'!$G$15))-'3. Model 1 (In-House TDR)'!$D$26</f>
        <v/>
      </c>
      <c r="J32" s="111">
        <f>((((('3. Model 1 (In-House TDR)'!$G$7*$P32*12)+('3. Model 1 (In-House TDR)'!$G$10*12))*(1+'3. Model 1 (In-House TDR)'!$G$14)^INT((7-1)/2))*$Q32)*(1-'3. Model 1 (In-House TDR)'!$G$15))-'3. Model 1 (In-House TDR)'!$D$26</f>
        <v/>
      </c>
      <c r="K32" s="111">
        <f>((((('3. Model 1 (In-House TDR)'!$G$7*$P32*12)+('3. Model 1 (In-House TDR)'!$G$10*12))*(1+'3. Model 1 (In-House TDR)'!$G$14)^INT((8-1)/2))*$Q32)*(1-'3. Model 1 (In-House TDR)'!$G$15))-'3. Model 1 (In-House TDR)'!$D$26</f>
        <v/>
      </c>
      <c r="L32" s="111">
        <f>((((('3. Model 1 (In-House TDR)'!$G$7*$P32*12)+('3. Model 1 (In-House TDR)'!$G$10*12))*(1+'3. Model 1 (In-House TDR)'!$G$14)^INT((9-1)/2))*$Q32)*(1-'3. Model 1 (In-House TDR)'!$G$15))-'3. Model 1 (In-House TDR)'!$D$26</f>
        <v/>
      </c>
      <c r="M32" s="111">
        <f>((((('3. Model 1 (In-House TDR)'!$G$7*$P32*12)+('3. Model 1 (In-House TDR)'!$G$10*12))*(1+'3. Model 1 (In-House TDR)'!$G$14)^INT((10-1)/2))*$Q32)*(1-'3. Model 1 (In-House TDR)'!$G$15))-'3. Model 1 (In-House TDR)'!$D$26</f>
        <v/>
      </c>
      <c r="N32" s="112">
        <f>IRR(C32:M32)</f>
        <v/>
      </c>
      <c r="P32" s="113" t="n">
        <v>18000</v>
      </c>
      <c r="Q32" s="114" t="n">
        <v>0.95</v>
      </c>
    </row>
    <row r="33" ht="14.25" customHeight="1" s="56">
      <c r="B33" s="109">
        <f>"Rent ₹"&amp;TEXT(P33,"#,##0")&amp;" @ "&amp;TEXT(Q33,"0%")&amp;" occ."</f>
        <v/>
      </c>
      <c r="C33" s="110">
        <f>-'3. Model 1 (In-House TDR)'!$C$13</f>
        <v/>
      </c>
      <c r="D33" s="111">
        <f>((((('3. Model 1 (In-House TDR)'!$G$7*$P33*12)+('3. Model 1 (In-House TDR)'!$G$10*12))*(1+'3. Model 1 (In-House TDR)'!$G$14)^INT((1-1)/2))*'3. Model 1 (In-House TDR)'!$G$12)*(1-'3. Model 1 (In-House TDR)'!$G$15))-'3. Model 1 (In-House TDR)'!$D$26</f>
        <v/>
      </c>
      <c r="E33" s="111">
        <f>((((('3. Model 1 (In-House TDR)'!$G$7*$P33*12)+('3. Model 1 (In-House TDR)'!$G$10*12))*(1+'3. Model 1 (In-House TDR)'!$G$14)^INT((2-1)/2))*$Q33)*(1-'3. Model 1 (In-House TDR)'!$G$15))-'3. Model 1 (In-House TDR)'!$D$26</f>
        <v/>
      </c>
      <c r="F33" s="111">
        <f>((((('3. Model 1 (In-House TDR)'!$G$7*$P33*12)+('3. Model 1 (In-House TDR)'!$G$10*12))*(1+'3. Model 1 (In-House TDR)'!$G$14)^INT((3-1)/2))*$Q33)*(1-'3. Model 1 (In-House TDR)'!$G$15))-'3. Model 1 (In-House TDR)'!$D$26</f>
        <v/>
      </c>
      <c r="G33" s="111">
        <f>((((('3. Model 1 (In-House TDR)'!$G$7*$P33*12)+('3. Model 1 (In-House TDR)'!$G$10*12))*(1+'3. Model 1 (In-House TDR)'!$G$14)^INT((4-1)/2))*$Q33)*(1-'3. Model 1 (In-House TDR)'!$G$15))-'3. Model 1 (In-House TDR)'!$D$26</f>
        <v/>
      </c>
      <c r="H33" s="111">
        <f>((((('3. Model 1 (In-House TDR)'!$G$7*$P33*12)+('3. Model 1 (In-House TDR)'!$G$10*12))*(1+'3. Model 1 (In-House TDR)'!$G$14)^INT((5-1)/2))*$Q33)*(1-'3. Model 1 (In-House TDR)'!$G$15))-'3. Model 1 (In-House TDR)'!$D$26</f>
        <v/>
      </c>
      <c r="I33" s="111">
        <f>((((('3. Model 1 (In-House TDR)'!$G$7*$P33*12)+('3. Model 1 (In-House TDR)'!$G$10*12))*(1+'3. Model 1 (In-House TDR)'!$G$14)^INT((6-1)/2))*$Q33)*(1-'3. Model 1 (In-House TDR)'!$G$15))-'3. Model 1 (In-House TDR)'!$D$26</f>
        <v/>
      </c>
      <c r="J33" s="111">
        <f>((((('3. Model 1 (In-House TDR)'!$G$7*$P33*12)+('3. Model 1 (In-House TDR)'!$G$10*12))*(1+'3. Model 1 (In-House TDR)'!$G$14)^INT((7-1)/2))*$Q33)*(1-'3. Model 1 (In-House TDR)'!$G$15))-'3. Model 1 (In-House TDR)'!$D$26</f>
        <v/>
      </c>
      <c r="K33" s="111">
        <f>((((('3. Model 1 (In-House TDR)'!$G$7*$P33*12)+('3. Model 1 (In-House TDR)'!$G$10*12))*(1+'3. Model 1 (In-House TDR)'!$G$14)^INT((8-1)/2))*$Q33)*(1-'3. Model 1 (In-House TDR)'!$G$15))-'3. Model 1 (In-House TDR)'!$D$26</f>
        <v/>
      </c>
      <c r="L33" s="111">
        <f>((((('3. Model 1 (In-House TDR)'!$G$7*$P33*12)+('3. Model 1 (In-House TDR)'!$G$10*12))*(1+'3. Model 1 (In-House TDR)'!$G$14)^INT((9-1)/2))*$Q33)*(1-'3. Model 1 (In-House TDR)'!$G$15))-'3. Model 1 (In-House TDR)'!$D$26</f>
        <v/>
      </c>
      <c r="M33" s="111">
        <f>((((('3. Model 1 (In-House TDR)'!$G$7*$P33*12)+('3. Model 1 (In-House TDR)'!$G$10*12))*(1+'3. Model 1 (In-House TDR)'!$G$14)^INT((10-1)/2))*$Q33)*(1-'3. Model 1 (In-House TDR)'!$G$15))-'3. Model 1 (In-House TDR)'!$D$26</f>
        <v/>
      </c>
      <c r="N33" s="112">
        <f>IRR(C33:M33)</f>
        <v/>
      </c>
      <c r="P33" s="113" t="n">
        <v>20000</v>
      </c>
      <c r="Q33" s="114" t="n">
        <v>0.8</v>
      </c>
    </row>
    <row r="34" ht="14.25" customHeight="1" s="56">
      <c r="B34" s="109">
        <f>"Rent ₹"&amp;TEXT(P34,"#,##0")&amp;" @ "&amp;TEXT(Q34,"0%")&amp;" occ."</f>
        <v/>
      </c>
      <c r="C34" s="110">
        <f>-'3. Model 1 (In-House TDR)'!$C$13</f>
        <v/>
      </c>
      <c r="D34" s="111">
        <f>((((('3. Model 1 (In-House TDR)'!$G$7*$P34*12)+('3. Model 1 (In-House TDR)'!$G$10*12))*(1+'3. Model 1 (In-House TDR)'!$G$14)^INT((1-1)/2))*'3. Model 1 (In-House TDR)'!$G$12)*(1-'3. Model 1 (In-House TDR)'!$G$15))-'3. Model 1 (In-House TDR)'!$D$26</f>
        <v/>
      </c>
      <c r="E34" s="111">
        <f>((((('3. Model 1 (In-House TDR)'!$G$7*$P34*12)+('3. Model 1 (In-House TDR)'!$G$10*12))*(1+'3. Model 1 (In-House TDR)'!$G$14)^INT((2-1)/2))*$Q34)*(1-'3. Model 1 (In-House TDR)'!$G$15))-'3. Model 1 (In-House TDR)'!$D$26</f>
        <v/>
      </c>
      <c r="F34" s="111">
        <f>((((('3. Model 1 (In-House TDR)'!$G$7*$P34*12)+('3. Model 1 (In-House TDR)'!$G$10*12))*(1+'3. Model 1 (In-House TDR)'!$G$14)^INT((3-1)/2))*$Q34)*(1-'3. Model 1 (In-House TDR)'!$G$15))-'3. Model 1 (In-House TDR)'!$D$26</f>
        <v/>
      </c>
      <c r="G34" s="111">
        <f>((((('3. Model 1 (In-House TDR)'!$G$7*$P34*12)+('3. Model 1 (In-House TDR)'!$G$10*12))*(1+'3. Model 1 (In-House TDR)'!$G$14)^INT((4-1)/2))*$Q34)*(1-'3. Model 1 (In-House TDR)'!$G$15))-'3. Model 1 (In-House TDR)'!$D$26</f>
        <v/>
      </c>
      <c r="H34" s="111">
        <f>((((('3. Model 1 (In-House TDR)'!$G$7*$P34*12)+('3. Model 1 (In-House TDR)'!$G$10*12))*(1+'3. Model 1 (In-House TDR)'!$G$14)^INT((5-1)/2))*$Q34)*(1-'3. Model 1 (In-House TDR)'!$G$15))-'3. Model 1 (In-House TDR)'!$D$26</f>
        <v/>
      </c>
      <c r="I34" s="111">
        <f>((((('3. Model 1 (In-House TDR)'!$G$7*$P34*12)+('3. Model 1 (In-House TDR)'!$G$10*12))*(1+'3. Model 1 (In-House TDR)'!$G$14)^INT((6-1)/2))*$Q34)*(1-'3. Model 1 (In-House TDR)'!$G$15))-'3. Model 1 (In-House TDR)'!$D$26</f>
        <v/>
      </c>
      <c r="J34" s="111">
        <f>((((('3. Model 1 (In-House TDR)'!$G$7*$P34*12)+('3. Model 1 (In-House TDR)'!$G$10*12))*(1+'3. Model 1 (In-House TDR)'!$G$14)^INT((7-1)/2))*$Q34)*(1-'3. Model 1 (In-House TDR)'!$G$15))-'3. Model 1 (In-House TDR)'!$D$26</f>
        <v/>
      </c>
      <c r="K34" s="111">
        <f>((((('3. Model 1 (In-House TDR)'!$G$7*$P34*12)+('3. Model 1 (In-House TDR)'!$G$10*12))*(1+'3. Model 1 (In-House TDR)'!$G$14)^INT((8-1)/2))*$Q34)*(1-'3. Model 1 (In-House TDR)'!$G$15))-'3. Model 1 (In-House TDR)'!$D$26</f>
        <v/>
      </c>
      <c r="L34" s="111">
        <f>((((('3. Model 1 (In-House TDR)'!$G$7*$P34*12)+('3. Model 1 (In-House TDR)'!$G$10*12))*(1+'3. Model 1 (In-House TDR)'!$G$14)^INT((9-1)/2))*$Q34)*(1-'3. Model 1 (In-House TDR)'!$G$15))-'3. Model 1 (In-House TDR)'!$D$26</f>
        <v/>
      </c>
      <c r="M34" s="111">
        <f>((((('3. Model 1 (In-House TDR)'!$G$7*$P34*12)+('3. Model 1 (In-House TDR)'!$G$10*12))*(1+'3. Model 1 (In-House TDR)'!$G$14)^INT((10-1)/2))*$Q34)*(1-'3. Model 1 (In-House TDR)'!$G$15))-'3. Model 1 (In-House TDR)'!$D$26</f>
        <v/>
      </c>
      <c r="N34" s="112">
        <f>IRR(C34:M34)</f>
        <v/>
      </c>
      <c r="P34" s="113" t="n">
        <v>20000</v>
      </c>
      <c r="Q34" s="114" t="n">
        <v>0.85</v>
      </c>
    </row>
    <row r="35" ht="14.25" customHeight="1" s="56">
      <c r="B35" s="109">
        <f>"Rent ₹"&amp;TEXT(P35,"#,##0")&amp;" @ "&amp;TEXT(Q35,"0%")&amp;" occ."</f>
        <v/>
      </c>
      <c r="C35" s="110">
        <f>-'3. Model 1 (In-House TDR)'!$C$13</f>
        <v/>
      </c>
      <c r="D35" s="111">
        <f>((((('3. Model 1 (In-House TDR)'!$G$7*$P35*12)+('3. Model 1 (In-House TDR)'!$G$10*12))*(1+'3. Model 1 (In-House TDR)'!$G$14)^INT((1-1)/2))*'3. Model 1 (In-House TDR)'!$G$12)*(1-'3. Model 1 (In-House TDR)'!$G$15))-'3. Model 1 (In-House TDR)'!$D$26</f>
        <v/>
      </c>
      <c r="E35" s="111">
        <f>((((('3. Model 1 (In-House TDR)'!$G$7*$P35*12)+('3. Model 1 (In-House TDR)'!$G$10*12))*(1+'3. Model 1 (In-House TDR)'!$G$14)^INT((2-1)/2))*$Q35)*(1-'3. Model 1 (In-House TDR)'!$G$15))-'3. Model 1 (In-House TDR)'!$D$26</f>
        <v/>
      </c>
      <c r="F35" s="111">
        <f>((((('3. Model 1 (In-House TDR)'!$G$7*$P35*12)+('3. Model 1 (In-House TDR)'!$G$10*12))*(1+'3. Model 1 (In-House TDR)'!$G$14)^INT((3-1)/2))*$Q35)*(1-'3. Model 1 (In-House TDR)'!$G$15))-'3. Model 1 (In-House TDR)'!$D$26</f>
        <v/>
      </c>
      <c r="G35" s="111">
        <f>((((('3. Model 1 (In-House TDR)'!$G$7*$P35*12)+('3. Model 1 (In-House TDR)'!$G$10*12))*(1+'3. Model 1 (In-House TDR)'!$G$14)^INT((4-1)/2))*$Q35)*(1-'3. Model 1 (In-House TDR)'!$G$15))-'3. Model 1 (In-House TDR)'!$D$26</f>
        <v/>
      </c>
      <c r="H35" s="111">
        <f>((((('3. Model 1 (In-House TDR)'!$G$7*$P35*12)+('3. Model 1 (In-House TDR)'!$G$10*12))*(1+'3. Model 1 (In-House TDR)'!$G$14)^INT((5-1)/2))*$Q35)*(1-'3. Model 1 (In-House TDR)'!$G$15))-'3. Model 1 (In-House TDR)'!$D$26</f>
        <v/>
      </c>
      <c r="I35" s="111">
        <f>((((('3. Model 1 (In-House TDR)'!$G$7*$P35*12)+('3. Model 1 (In-House TDR)'!$G$10*12))*(1+'3. Model 1 (In-House TDR)'!$G$14)^INT((6-1)/2))*$Q35)*(1-'3. Model 1 (In-House TDR)'!$G$15))-'3. Model 1 (In-House TDR)'!$D$26</f>
        <v/>
      </c>
      <c r="J35" s="111">
        <f>((((('3. Model 1 (In-House TDR)'!$G$7*$P35*12)+('3. Model 1 (In-House TDR)'!$G$10*12))*(1+'3. Model 1 (In-House TDR)'!$G$14)^INT((7-1)/2))*$Q35)*(1-'3. Model 1 (In-House TDR)'!$G$15))-'3. Model 1 (In-House TDR)'!$D$26</f>
        <v/>
      </c>
      <c r="K35" s="111">
        <f>((((('3. Model 1 (In-House TDR)'!$G$7*$P35*12)+('3. Model 1 (In-House TDR)'!$G$10*12))*(1+'3. Model 1 (In-House TDR)'!$G$14)^INT((8-1)/2))*$Q35)*(1-'3. Model 1 (In-House TDR)'!$G$15))-'3. Model 1 (In-House TDR)'!$D$26</f>
        <v/>
      </c>
      <c r="L35" s="111">
        <f>((((('3. Model 1 (In-House TDR)'!$G$7*$P35*12)+('3. Model 1 (In-House TDR)'!$G$10*12))*(1+'3. Model 1 (In-House TDR)'!$G$14)^INT((9-1)/2))*$Q35)*(1-'3. Model 1 (In-House TDR)'!$G$15))-'3. Model 1 (In-House TDR)'!$D$26</f>
        <v/>
      </c>
      <c r="M35" s="111">
        <f>((((('3. Model 1 (In-House TDR)'!$G$7*$P35*12)+('3. Model 1 (In-House TDR)'!$G$10*12))*(1+'3. Model 1 (In-House TDR)'!$G$14)^INT((10-1)/2))*$Q35)*(1-'3. Model 1 (In-House TDR)'!$G$15))-'3. Model 1 (In-House TDR)'!$D$26</f>
        <v/>
      </c>
      <c r="N35" s="112">
        <f>IRR(C35:M35)</f>
        <v/>
      </c>
      <c r="P35" s="113" t="n">
        <v>20000</v>
      </c>
      <c r="Q35" s="114" t="n">
        <v>0.9</v>
      </c>
    </row>
    <row r="36" ht="14.25" customHeight="1" s="56">
      <c r="B36" s="109">
        <f>"Rent ₹"&amp;TEXT(P36,"#,##0")&amp;" @ "&amp;TEXT(Q36,"0%")&amp;" occ."</f>
        <v/>
      </c>
      <c r="C36" s="110">
        <f>-'3. Model 1 (In-House TDR)'!$C$13</f>
        <v/>
      </c>
      <c r="D36" s="111">
        <f>((((('3. Model 1 (In-House TDR)'!$G$7*$P36*12)+('3. Model 1 (In-House TDR)'!$G$10*12))*(1+'3. Model 1 (In-House TDR)'!$G$14)^INT((1-1)/2))*'3. Model 1 (In-House TDR)'!$G$12)*(1-'3. Model 1 (In-House TDR)'!$G$15))-'3. Model 1 (In-House TDR)'!$D$26</f>
        <v/>
      </c>
      <c r="E36" s="111">
        <f>((((('3. Model 1 (In-House TDR)'!$G$7*$P36*12)+('3. Model 1 (In-House TDR)'!$G$10*12))*(1+'3. Model 1 (In-House TDR)'!$G$14)^INT((2-1)/2))*$Q36)*(1-'3. Model 1 (In-House TDR)'!$G$15))-'3. Model 1 (In-House TDR)'!$D$26</f>
        <v/>
      </c>
      <c r="F36" s="111">
        <f>((((('3. Model 1 (In-House TDR)'!$G$7*$P36*12)+('3. Model 1 (In-House TDR)'!$G$10*12))*(1+'3. Model 1 (In-House TDR)'!$G$14)^INT((3-1)/2))*$Q36)*(1-'3. Model 1 (In-House TDR)'!$G$15))-'3. Model 1 (In-House TDR)'!$D$26</f>
        <v/>
      </c>
      <c r="G36" s="111">
        <f>((((('3. Model 1 (In-House TDR)'!$G$7*$P36*12)+('3. Model 1 (In-House TDR)'!$G$10*12))*(1+'3. Model 1 (In-House TDR)'!$G$14)^INT((4-1)/2))*$Q36)*(1-'3. Model 1 (In-House TDR)'!$G$15))-'3. Model 1 (In-House TDR)'!$D$26</f>
        <v/>
      </c>
      <c r="H36" s="111">
        <f>((((('3. Model 1 (In-House TDR)'!$G$7*$P36*12)+('3. Model 1 (In-House TDR)'!$G$10*12))*(1+'3. Model 1 (In-House TDR)'!$G$14)^INT((5-1)/2))*$Q36)*(1-'3. Model 1 (In-House TDR)'!$G$15))-'3. Model 1 (In-House TDR)'!$D$26</f>
        <v/>
      </c>
      <c r="I36" s="111">
        <f>((((('3. Model 1 (In-House TDR)'!$G$7*$P36*12)+('3. Model 1 (In-House TDR)'!$G$10*12))*(1+'3. Model 1 (In-House TDR)'!$G$14)^INT((6-1)/2))*$Q36)*(1-'3. Model 1 (In-House TDR)'!$G$15))-'3. Model 1 (In-House TDR)'!$D$26</f>
        <v/>
      </c>
      <c r="J36" s="111">
        <f>((((('3. Model 1 (In-House TDR)'!$G$7*$P36*12)+('3. Model 1 (In-House TDR)'!$G$10*12))*(1+'3. Model 1 (In-House TDR)'!$G$14)^INT((7-1)/2))*$Q36)*(1-'3. Model 1 (In-House TDR)'!$G$15))-'3. Model 1 (In-House TDR)'!$D$26</f>
        <v/>
      </c>
      <c r="K36" s="111">
        <f>((((('3. Model 1 (In-House TDR)'!$G$7*$P36*12)+('3. Model 1 (In-House TDR)'!$G$10*12))*(1+'3. Model 1 (In-House TDR)'!$G$14)^INT((8-1)/2))*$Q36)*(1-'3. Model 1 (In-House TDR)'!$G$15))-'3. Model 1 (In-House TDR)'!$D$26</f>
        <v/>
      </c>
      <c r="L36" s="111">
        <f>((((('3. Model 1 (In-House TDR)'!$G$7*$P36*12)+('3. Model 1 (In-House TDR)'!$G$10*12))*(1+'3. Model 1 (In-House TDR)'!$G$14)^INT((9-1)/2))*$Q36)*(1-'3. Model 1 (In-House TDR)'!$G$15))-'3. Model 1 (In-House TDR)'!$D$26</f>
        <v/>
      </c>
      <c r="M36" s="111">
        <f>((((('3. Model 1 (In-House TDR)'!$G$7*$P36*12)+('3. Model 1 (In-House TDR)'!$G$10*12))*(1+'3. Model 1 (In-House TDR)'!$G$14)^INT((10-1)/2))*$Q36)*(1-'3. Model 1 (In-House TDR)'!$G$15))-'3. Model 1 (In-House TDR)'!$D$26</f>
        <v/>
      </c>
      <c r="N36" s="112">
        <f>IRR(C36:M36)</f>
        <v/>
      </c>
      <c r="P36" s="113" t="n">
        <v>20000</v>
      </c>
      <c r="Q36" s="114" t="n">
        <v>0.92</v>
      </c>
    </row>
    <row r="37" ht="14.25" customHeight="1" s="56">
      <c r="B37" s="109">
        <f>"Rent ₹"&amp;TEXT(P37,"#,##0")&amp;" @ "&amp;TEXT(Q37,"0%")&amp;" occ."</f>
        <v/>
      </c>
      <c r="C37" s="110">
        <f>-'3. Model 1 (In-House TDR)'!$C$13</f>
        <v/>
      </c>
      <c r="D37" s="111">
        <f>((((('3. Model 1 (In-House TDR)'!$G$7*$P37*12)+('3. Model 1 (In-House TDR)'!$G$10*12))*(1+'3. Model 1 (In-House TDR)'!$G$14)^INT((1-1)/2))*'3. Model 1 (In-House TDR)'!$G$12)*(1-'3. Model 1 (In-House TDR)'!$G$15))-'3. Model 1 (In-House TDR)'!$D$26</f>
        <v/>
      </c>
      <c r="E37" s="111">
        <f>((((('3. Model 1 (In-House TDR)'!$G$7*$P37*12)+('3. Model 1 (In-House TDR)'!$G$10*12))*(1+'3. Model 1 (In-House TDR)'!$G$14)^INT((2-1)/2))*$Q37)*(1-'3. Model 1 (In-House TDR)'!$G$15))-'3. Model 1 (In-House TDR)'!$D$26</f>
        <v/>
      </c>
      <c r="F37" s="111">
        <f>((((('3. Model 1 (In-House TDR)'!$G$7*$P37*12)+('3. Model 1 (In-House TDR)'!$G$10*12))*(1+'3. Model 1 (In-House TDR)'!$G$14)^INT((3-1)/2))*$Q37)*(1-'3. Model 1 (In-House TDR)'!$G$15))-'3. Model 1 (In-House TDR)'!$D$26</f>
        <v/>
      </c>
      <c r="G37" s="111">
        <f>((((('3. Model 1 (In-House TDR)'!$G$7*$P37*12)+('3. Model 1 (In-House TDR)'!$G$10*12))*(1+'3. Model 1 (In-House TDR)'!$G$14)^INT((4-1)/2))*$Q37)*(1-'3. Model 1 (In-House TDR)'!$G$15))-'3. Model 1 (In-House TDR)'!$D$26</f>
        <v/>
      </c>
      <c r="H37" s="111">
        <f>((((('3. Model 1 (In-House TDR)'!$G$7*$P37*12)+('3. Model 1 (In-House TDR)'!$G$10*12))*(1+'3. Model 1 (In-House TDR)'!$G$14)^INT((5-1)/2))*$Q37)*(1-'3. Model 1 (In-House TDR)'!$G$15))-'3. Model 1 (In-House TDR)'!$D$26</f>
        <v/>
      </c>
      <c r="I37" s="111">
        <f>((((('3. Model 1 (In-House TDR)'!$G$7*$P37*12)+('3. Model 1 (In-House TDR)'!$G$10*12))*(1+'3. Model 1 (In-House TDR)'!$G$14)^INT((6-1)/2))*$Q37)*(1-'3. Model 1 (In-House TDR)'!$G$15))-'3. Model 1 (In-House TDR)'!$D$26</f>
        <v/>
      </c>
      <c r="J37" s="111">
        <f>((((('3. Model 1 (In-House TDR)'!$G$7*$P37*12)+('3. Model 1 (In-House TDR)'!$G$10*12))*(1+'3. Model 1 (In-House TDR)'!$G$14)^INT((7-1)/2))*$Q37)*(1-'3. Model 1 (In-House TDR)'!$G$15))-'3. Model 1 (In-House TDR)'!$D$26</f>
        <v/>
      </c>
      <c r="K37" s="111">
        <f>((((('3. Model 1 (In-House TDR)'!$G$7*$P37*12)+('3. Model 1 (In-House TDR)'!$G$10*12))*(1+'3. Model 1 (In-House TDR)'!$G$14)^INT((8-1)/2))*$Q37)*(1-'3. Model 1 (In-House TDR)'!$G$15))-'3. Model 1 (In-House TDR)'!$D$26</f>
        <v/>
      </c>
      <c r="L37" s="111">
        <f>((((('3. Model 1 (In-House TDR)'!$G$7*$P37*12)+('3. Model 1 (In-House TDR)'!$G$10*12))*(1+'3. Model 1 (In-House TDR)'!$G$14)^INT((9-1)/2))*$Q37)*(1-'3. Model 1 (In-House TDR)'!$G$15))-'3. Model 1 (In-House TDR)'!$D$26</f>
        <v/>
      </c>
      <c r="M37" s="111">
        <f>((((('3. Model 1 (In-House TDR)'!$G$7*$P37*12)+('3. Model 1 (In-House TDR)'!$G$10*12))*(1+'3. Model 1 (In-House TDR)'!$G$14)^INT((10-1)/2))*$Q37)*(1-'3. Model 1 (In-House TDR)'!$G$15))-'3. Model 1 (In-House TDR)'!$D$26</f>
        <v/>
      </c>
      <c r="N37" s="112">
        <f>IRR(C37:M37)</f>
        <v/>
      </c>
      <c r="P37" s="113" t="n">
        <v>20000</v>
      </c>
      <c r="Q37" s="114" t="n">
        <v>0.95</v>
      </c>
    </row>
    <row r="38" ht="14.25" customHeight="1" s="56">
      <c r="B38" s="109">
        <f>"Rent ₹"&amp;TEXT(P38,"#,##0")&amp;" @ "&amp;TEXT(Q38,"0%")&amp;" occ."</f>
        <v/>
      </c>
      <c r="C38" s="110">
        <f>-'3. Model 1 (In-House TDR)'!$C$13</f>
        <v/>
      </c>
      <c r="D38" s="111">
        <f>((((('3. Model 1 (In-House TDR)'!$G$7*$P38*12)+('3. Model 1 (In-House TDR)'!$G$10*12))*(1+'3. Model 1 (In-House TDR)'!$G$14)^INT((1-1)/2))*'3. Model 1 (In-House TDR)'!$G$12)*(1-'3. Model 1 (In-House TDR)'!$G$15))-'3. Model 1 (In-House TDR)'!$D$26</f>
        <v/>
      </c>
      <c r="E38" s="111">
        <f>((((('3. Model 1 (In-House TDR)'!$G$7*$P38*12)+('3. Model 1 (In-House TDR)'!$G$10*12))*(1+'3. Model 1 (In-House TDR)'!$G$14)^INT((2-1)/2))*$Q38)*(1-'3. Model 1 (In-House TDR)'!$G$15))-'3. Model 1 (In-House TDR)'!$D$26</f>
        <v/>
      </c>
      <c r="F38" s="111">
        <f>((((('3. Model 1 (In-House TDR)'!$G$7*$P38*12)+('3. Model 1 (In-House TDR)'!$G$10*12))*(1+'3. Model 1 (In-House TDR)'!$G$14)^INT((3-1)/2))*$Q38)*(1-'3. Model 1 (In-House TDR)'!$G$15))-'3. Model 1 (In-House TDR)'!$D$26</f>
        <v/>
      </c>
      <c r="G38" s="111">
        <f>((((('3. Model 1 (In-House TDR)'!$G$7*$P38*12)+('3. Model 1 (In-House TDR)'!$G$10*12))*(1+'3. Model 1 (In-House TDR)'!$G$14)^INT((4-1)/2))*$Q38)*(1-'3. Model 1 (In-House TDR)'!$G$15))-'3. Model 1 (In-House TDR)'!$D$26</f>
        <v/>
      </c>
      <c r="H38" s="111">
        <f>((((('3. Model 1 (In-House TDR)'!$G$7*$P38*12)+('3. Model 1 (In-House TDR)'!$G$10*12))*(1+'3. Model 1 (In-House TDR)'!$G$14)^INT((5-1)/2))*$Q38)*(1-'3. Model 1 (In-House TDR)'!$G$15))-'3. Model 1 (In-House TDR)'!$D$26</f>
        <v/>
      </c>
      <c r="I38" s="111">
        <f>((((('3. Model 1 (In-House TDR)'!$G$7*$P38*12)+('3. Model 1 (In-House TDR)'!$G$10*12))*(1+'3. Model 1 (In-House TDR)'!$G$14)^INT((6-1)/2))*$Q38)*(1-'3. Model 1 (In-House TDR)'!$G$15))-'3. Model 1 (In-House TDR)'!$D$26</f>
        <v/>
      </c>
      <c r="J38" s="111">
        <f>((((('3. Model 1 (In-House TDR)'!$G$7*$P38*12)+('3. Model 1 (In-House TDR)'!$G$10*12))*(1+'3. Model 1 (In-House TDR)'!$G$14)^INT((7-1)/2))*$Q38)*(1-'3. Model 1 (In-House TDR)'!$G$15))-'3. Model 1 (In-House TDR)'!$D$26</f>
        <v/>
      </c>
      <c r="K38" s="111">
        <f>((((('3. Model 1 (In-House TDR)'!$G$7*$P38*12)+('3. Model 1 (In-House TDR)'!$G$10*12))*(1+'3. Model 1 (In-House TDR)'!$G$14)^INT((8-1)/2))*$Q38)*(1-'3. Model 1 (In-House TDR)'!$G$15))-'3. Model 1 (In-House TDR)'!$D$26</f>
        <v/>
      </c>
      <c r="L38" s="111">
        <f>((((('3. Model 1 (In-House TDR)'!$G$7*$P38*12)+('3. Model 1 (In-House TDR)'!$G$10*12))*(1+'3. Model 1 (In-House TDR)'!$G$14)^INT((9-1)/2))*$Q38)*(1-'3. Model 1 (In-House TDR)'!$G$15))-'3. Model 1 (In-House TDR)'!$D$26</f>
        <v/>
      </c>
      <c r="M38" s="111">
        <f>((((('3. Model 1 (In-House TDR)'!$G$7*$P38*12)+('3. Model 1 (In-House TDR)'!$G$10*12))*(1+'3. Model 1 (In-House TDR)'!$G$14)^INT((10-1)/2))*$Q38)*(1-'3. Model 1 (In-House TDR)'!$G$15))-'3. Model 1 (In-House TDR)'!$D$26</f>
        <v/>
      </c>
      <c r="N38" s="112">
        <f>IRR(C38:M38)</f>
        <v/>
      </c>
      <c r="P38" s="113" t="n">
        <v>22000</v>
      </c>
      <c r="Q38" s="114" t="n">
        <v>0.8</v>
      </c>
    </row>
    <row r="39" ht="14.25" customHeight="1" s="56">
      <c r="B39" s="109">
        <f>"Rent ₹"&amp;TEXT(P39,"#,##0")&amp;" @ "&amp;TEXT(Q39,"0%")&amp;" occ."</f>
        <v/>
      </c>
      <c r="C39" s="110">
        <f>-'3. Model 1 (In-House TDR)'!$C$13</f>
        <v/>
      </c>
      <c r="D39" s="111">
        <f>((((('3. Model 1 (In-House TDR)'!$G$7*$P39*12)+('3. Model 1 (In-House TDR)'!$G$10*12))*(1+'3. Model 1 (In-House TDR)'!$G$14)^INT((1-1)/2))*'3. Model 1 (In-House TDR)'!$G$12)*(1-'3. Model 1 (In-House TDR)'!$G$15))-'3. Model 1 (In-House TDR)'!$D$26</f>
        <v/>
      </c>
      <c r="E39" s="111">
        <f>((((('3. Model 1 (In-House TDR)'!$G$7*$P39*12)+('3. Model 1 (In-House TDR)'!$G$10*12))*(1+'3. Model 1 (In-House TDR)'!$G$14)^INT((2-1)/2))*$Q39)*(1-'3. Model 1 (In-House TDR)'!$G$15))-'3. Model 1 (In-House TDR)'!$D$26</f>
        <v/>
      </c>
      <c r="F39" s="111">
        <f>((((('3. Model 1 (In-House TDR)'!$G$7*$P39*12)+('3. Model 1 (In-House TDR)'!$G$10*12))*(1+'3. Model 1 (In-House TDR)'!$G$14)^INT((3-1)/2))*$Q39)*(1-'3. Model 1 (In-House TDR)'!$G$15))-'3. Model 1 (In-House TDR)'!$D$26</f>
        <v/>
      </c>
      <c r="G39" s="111">
        <f>((((('3. Model 1 (In-House TDR)'!$G$7*$P39*12)+('3. Model 1 (In-House TDR)'!$G$10*12))*(1+'3. Model 1 (In-House TDR)'!$G$14)^INT((4-1)/2))*$Q39)*(1-'3. Model 1 (In-House TDR)'!$G$15))-'3. Model 1 (In-House TDR)'!$D$26</f>
        <v/>
      </c>
      <c r="H39" s="111">
        <f>((((('3. Model 1 (In-House TDR)'!$G$7*$P39*12)+('3. Model 1 (In-House TDR)'!$G$10*12))*(1+'3. Model 1 (In-House TDR)'!$G$14)^INT((5-1)/2))*$Q39)*(1-'3. Model 1 (In-House TDR)'!$G$15))-'3. Model 1 (In-House TDR)'!$D$26</f>
        <v/>
      </c>
      <c r="I39" s="111">
        <f>((((('3. Model 1 (In-House TDR)'!$G$7*$P39*12)+('3. Model 1 (In-House TDR)'!$G$10*12))*(1+'3. Model 1 (In-House TDR)'!$G$14)^INT((6-1)/2))*$Q39)*(1-'3. Model 1 (In-House TDR)'!$G$15))-'3. Model 1 (In-House TDR)'!$D$26</f>
        <v/>
      </c>
      <c r="J39" s="111">
        <f>((((('3. Model 1 (In-House TDR)'!$G$7*$P39*12)+('3. Model 1 (In-House TDR)'!$G$10*12))*(1+'3. Model 1 (In-House TDR)'!$G$14)^INT((7-1)/2))*$Q39)*(1-'3. Model 1 (In-House TDR)'!$G$15))-'3. Model 1 (In-House TDR)'!$D$26</f>
        <v/>
      </c>
      <c r="K39" s="111">
        <f>((((('3. Model 1 (In-House TDR)'!$G$7*$P39*12)+('3. Model 1 (In-House TDR)'!$G$10*12))*(1+'3. Model 1 (In-House TDR)'!$G$14)^INT((8-1)/2))*$Q39)*(1-'3. Model 1 (In-House TDR)'!$G$15))-'3. Model 1 (In-House TDR)'!$D$26</f>
        <v/>
      </c>
      <c r="L39" s="111">
        <f>((((('3. Model 1 (In-House TDR)'!$G$7*$P39*12)+('3. Model 1 (In-House TDR)'!$G$10*12))*(1+'3. Model 1 (In-House TDR)'!$G$14)^INT((9-1)/2))*$Q39)*(1-'3. Model 1 (In-House TDR)'!$G$15))-'3. Model 1 (In-House TDR)'!$D$26</f>
        <v/>
      </c>
      <c r="M39" s="111">
        <f>((((('3. Model 1 (In-House TDR)'!$G$7*$P39*12)+('3. Model 1 (In-House TDR)'!$G$10*12))*(1+'3. Model 1 (In-House TDR)'!$G$14)^INT((10-1)/2))*$Q39)*(1-'3. Model 1 (In-House TDR)'!$G$15))-'3. Model 1 (In-House TDR)'!$D$26</f>
        <v/>
      </c>
      <c r="N39" s="112">
        <f>IRR(C39:M39)</f>
        <v/>
      </c>
      <c r="P39" s="113" t="n">
        <v>22000</v>
      </c>
      <c r="Q39" s="114" t="n">
        <v>0.85</v>
      </c>
    </row>
    <row r="40" ht="14.25" customHeight="1" s="56">
      <c r="B40" s="109">
        <f>"Rent ₹"&amp;TEXT(P40,"#,##0")&amp;" @ "&amp;TEXT(Q40,"0%")&amp;" occ."</f>
        <v/>
      </c>
      <c r="C40" s="110">
        <f>-'3. Model 1 (In-House TDR)'!$C$13</f>
        <v/>
      </c>
      <c r="D40" s="111">
        <f>((((('3. Model 1 (In-House TDR)'!$G$7*$P40*12)+('3. Model 1 (In-House TDR)'!$G$10*12))*(1+'3. Model 1 (In-House TDR)'!$G$14)^INT((1-1)/2))*'3. Model 1 (In-House TDR)'!$G$12)*(1-'3. Model 1 (In-House TDR)'!$G$15))-'3. Model 1 (In-House TDR)'!$D$26</f>
        <v/>
      </c>
      <c r="E40" s="111">
        <f>((((('3. Model 1 (In-House TDR)'!$G$7*$P40*12)+('3. Model 1 (In-House TDR)'!$G$10*12))*(1+'3. Model 1 (In-House TDR)'!$G$14)^INT((2-1)/2))*$Q40)*(1-'3. Model 1 (In-House TDR)'!$G$15))-'3. Model 1 (In-House TDR)'!$D$26</f>
        <v/>
      </c>
      <c r="F40" s="111">
        <f>((((('3. Model 1 (In-House TDR)'!$G$7*$P40*12)+('3. Model 1 (In-House TDR)'!$G$10*12))*(1+'3. Model 1 (In-House TDR)'!$G$14)^INT((3-1)/2))*$Q40)*(1-'3. Model 1 (In-House TDR)'!$G$15))-'3. Model 1 (In-House TDR)'!$D$26</f>
        <v/>
      </c>
      <c r="G40" s="111">
        <f>((((('3. Model 1 (In-House TDR)'!$G$7*$P40*12)+('3. Model 1 (In-House TDR)'!$G$10*12))*(1+'3. Model 1 (In-House TDR)'!$G$14)^INT((4-1)/2))*$Q40)*(1-'3. Model 1 (In-House TDR)'!$G$15))-'3. Model 1 (In-House TDR)'!$D$26</f>
        <v/>
      </c>
      <c r="H40" s="111">
        <f>((((('3. Model 1 (In-House TDR)'!$G$7*$P40*12)+('3. Model 1 (In-House TDR)'!$G$10*12))*(1+'3. Model 1 (In-House TDR)'!$G$14)^INT((5-1)/2))*$Q40)*(1-'3. Model 1 (In-House TDR)'!$G$15))-'3. Model 1 (In-House TDR)'!$D$26</f>
        <v/>
      </c>
      <c r="I40" s="111">
        <f>((((('3. Model 1 (In-House TDR)'!$G$7*$P40*12)+('3. Model 1 (In-House TDR)'!$G$10*12))*(1+'3. Model 1 (In-House TDR)'!$G$14)^INT((6-1)/2))*$Q40)*(1-'3. Model 1 (In-House TDR)'!$G$15))-'3. Model 1 (In-House TDR)'!$D$26</f>
        <v/>
      </c>
      <c r="J40" s="111">
        <f>((((('3. Model 1 (In-House TDR)'!$G$7*$P40*12)+('3. Model 1 (In-House TDR)'!$G$10*12))*(1+'3. Model 1 (In-House TDR)'!$G$14)^INT((7-1)/2))*$Q40)*(1-'3. Model 1 (In-House TDR)'!$G$15))-'3. Model 1 (In-House TDR)'!$D$26</f>
        <v/>
      </c>
      <c r="K40" s="111">
        <f>((((('3. Model 1 (In-House TDR)'!$G$7*$P40*12)+('3. Model 1 (In-House TDR)'!$G$10*12))*(1+'3. Model 1 (In-House TDR)'!$G$14)^INT((8-1)/2))*$Q40)*(1-'3. Model 1 (In-House TDR)'!$G$15))-'3. Model 1 (In-House TDR)'!$D$26</f>
        <v/>
      </c>
      <c r="L40" s="111">
        <f>((((('3. Model 1 (In-House TDR)'!$G$7*$P40*12)+('3. Model 1 (In-House TDR)'!$G$10*12))*(1+'3. Model 1 (In-House TDR)'!$G$14)^INT((9-1)/2))*$Q40)*(1-'3. Model 1 (In-House TDR)'!$G$15))-'3. Model 1 (In-House TDR)'!$D$26</f>
        <v/>
      </c>
      <c r="M40" s="111">
        <f>((((('3. Model 1 (In-House TDR)'!$G$7*$P40*12)+('3. Model 1 (In-House TDR)'!$G$10*12))*(1+'3. Model 1 (In-House TDR)'!$G$14)^INT((10-1)/2))*$Q40)*(1-'3. Model 1 (In-House TDR)'!$G$15))-'3. Model 1 (In-House TDR)'!$D$26</f>
        <v/>
      </c>
      <c r="N40" s="112">
        <f>IRR(C40:M40)</f>
        <v/>
      </c>
      <c r="P40" s="113" t="n">
        <v>22000</v>
      </c>
      <c r="Q40" s="114" t="n">
        <v>0.9</v>
      </c>
    </row>
    <row r="41" ht="14.25" customHeight="1" s="56">
      <c r="B41" s="109">
        <f>"Rent ₹"&amp;TEXT(P41,"#,##0")&amp;" @ "&amp;TEXT(Q41,"0%")&amp;" occ."</f>
        <v/>
      </c>
      <c r="C41" s="110">
        <f>-'3. Model 1 (In-House TDR)'!$C$13</f>
        <v/>
      </c>
      <c r="D41" s="111">
        <f>((((('3. Model 1 (In-House TDR)'!$G$7*$P41*12)+('3. Model 1 (In-House TDR)'!$G$10*12))*(1+'3. Model 1 (In-House TDR)'!$G$14)^INT((1-1)/2))*'3. Model 1 (In-House TDR)'!$G$12)*(1-'3. Model 1 (In-House TDR)'!$G$15))-'3. Model 1 (In-House TDR)'!$D$26</f>
        <v/>
      </c>
      <c r="E41" s="111">
        <f>((((('3. Model 1 (In-House TDR)'!$G$7*$P41*12)+('3. Model 1 (In-House TDR)'!$G$10*12))*(1+'3. Model 1 (In-House TDR)'!$G$14)^INT((2-1)/2))*$Q41)*(1-'3. Model 1 (In-House TDR)'!$G$15))-'3. Model 1 (In-House TDR)'!$D$26</f>
        <v/>
      </c>
      <c r="F41" s="111">
        <f>((((('3. Model 1 (In-House TDR)'!$G$7*$P41*12)+('3. Model 1 (In-House TDR)'!$G$10*12))*(1+'3. Model 1 (In-House TDR)'!$G$14)^INT((3-1)/2))*$Q41)*(1-'3. Model 1 (In-House TDR)'!$G$15))-'3. Model 1 (In-House TDR)'!$D$26</f>
        <v/>
      </c>
      <c r="G41" s="111">
        <f>((((('3. Model 1 (In-House TDR)'!$G$7*$P41*12)+('3. Model 1 (In-House TDR)'!$G$10*12))*(1+'3. Model 1 (In-House TDR)'!$G$14)^INT((4-1)/2))*$Q41)*(1-'3. Model 1 (In-House TDR)'!$G$15))-'3. Model 1 (In-House TDR)'!$D$26</f>
        <v/>
      </c>
      <c r="H41" s="111">
        <f>((((('3. Model 1 (In-House TDR)'!$G$7*$P41*12)+('3. Model 1 (In-House TDR)'!$G$10*12))*(1+'3. Model 1 (In-House TDR)'!$G$14)^INT((5-1)/2))*$Q41)*(1-'3. Model 1 (In-House TDR)'!$G$15))-'3. Model 1 (In-House TDR)'!$D$26</f>
        <v/>
      </c>
      <c r="I41" s="111">
        <f>((((('3. Model 1 (In-House TDR)'!$G$7*$P41*12)+('3. Model 1 (In-House TDR)'!$G$10*12))*(1+'3. Model 1 (In-House TDR)'!$G$14)^INT((6-1)/2))*$Q41)*(1-'3. Model 1 (In-House TDR)'!$G$15))-'3. Model 1 (In-House TDR)'!$D$26</f>
        <v/>
      </c>
      <c r="J41" s="111">
        <f>((((('3. Model 1 (In-House TDR)'!$G$7*$P41*12)+('3. Model 1 (In-House TDR)'!$G$10*12))*(1+'3. Model 1 (In-House TDR)'!$G$14)^INT((7-1)/2))*$Q41)*(1-'3. Model 1 (In-House TDR)'!$G$15))-'3. Model 1 (In-House TDR)'!$D$26</f>
        <v/>
      </c>
      <c r="K41" s="111">
        <f>((((('3. Model 1 (In-House TDR)'!$G$7*$P41*12)+('3. Model 1 (In-House TDR)'!$G$10*12))*(1+'3. Model 1 (In-House TDR)'!$G$14)^INT((8-1)/2))*$Q41)*(1-'3. Model 1 (In-House TDR)'!$G$15))-'3. Model 1 (In-House TDR)'!$D$26</f>
        <v/>
      </c>
      <c r="L41" s="111">
        <f>((((('3. Model 1 (In-House TDR)'!$G$7*$P41*12)+('3. Model 1 (In-House TDR)'!$G$10*12))*(1+'3. Model 1 (In-House TDR)'!$G$14)^INT((9-1)/2))*$Q41)*(1-'3. Model 1 (In-House TDR)'!$G$15))-'3. Model 1 (In-House TDR)'!$D$26</f>
        <v/>
      </c>
      <c r="M41" s="111">
        <f>((((('3. Model 1 (In-House TDR)'!$G$7*$P41*12)+('3. Model 1 (In-House TDR)'!$G$10*12))*(1+'3. Model 1 (In-House TDR)'!$G$14)^INT((10-1)/2))*$Q41)*(1-'3. Model 1 (In-House TDR)'!$G$15))-'3. Model 1 (In-House TDR)'!$D$26</f>
        <v/>
      </c>
      <c r="N41" s="112">
        <f>IRR(C41:M41)</f>
        <v/>
      </c>
      <c r="P41" s="113" t="n">
        <v>22000</v>
      </c>
      <c r="Q41" s="114" t="n">
        <v>0.92</v>
      </c>
    </row>
    <row r="42" ht="14.25" customHeight="1" s="56">
      <c r="B42" s="109">
        <f>"Rent ₹"&amp;TEXT(P42,"#,##0")&amp;" @ "&amp;TEXT(Q42,"0%")&amp;" occ."</f>
        <v/>
      </c>
      <c r="C42" s="110">
        <f>-'3. Model 1 (In-House TDR)'!$C$13</f>
        <v/>
      </c>
      <c r="D42" s="111">
        <f>((((('3. Model 1 (In-House TDR)'!$G$7*$P42*12)+('3. Model 1 (In-House TDR)'!$G$10*12))*(1+'3. Model 1 (In-House TDR)'!$G$14)^INT((1-1)/2))*'3. Model 1 (In-House TDR)'!$G$12)*(1-'3. Model 1 (In-House TDR)'!$G$15))-'3. Model 1 (In-House TDR)'!$D$26</f>
        <v/>
      </c>
      <c r="E42" s="111">
        <f>((((('3. Model 1 (In-House TDR)'!$G$7*$P42*12)+('3. Model 1 (In-House TDR)'!$G$10*12))*(1+'3. Model 1 (In-House TDR)'!$G$14)^INT((2-1)/2))*$Q42)*(1-'3. Model 1 (In-House TDR)'!$G$15))-'3. Model 1 (In-House TDR)'!$D$26</f>
        <v/>
      </c>
      <c r="F42" s="111">
        <f>((((('3. Model 1 (In-House TDR)'!$G$7*$P42*12)+('3. Model 1 (In-House TDR)'!$G$10*12))*(1+'3. Model 1 (In-House TDR)'!$G$14)^INT((3-1)/2))*$Q42)*(1-'3. Model 1 (In-House TDR)'!$G$15))-'3. Model 1 (In-House TDR)'!$D$26</f>
        <v/>
      </c>
      <c r="G42" s="111">
        <f>((((('3. Model 1 (In-House TDR)'!$G$7*$P42*12)+('3. Model 1 (In-House TDR)'!$G$10*12))*(1+'3. Model 1 (In-House TDR)'!$G$14)^INT((4-1)/2))*$Q42)*(1-'3. Model 1 (In-House TDR)'!$G$15))-'3. Model 1 (In-House TDR)'!$D$26</f>
        <v/>
      </c>
      <c r="H42" s="111">
        <f>((((('3. Model 1 (In-House TDR)'!$G$7*$P42*12)+('3. Model 1 (In-House TDR)'!$G$10*12))*(1+'3. Model 1 (In-House TDR)'!$G$14)^INT((5-1)/2))*$Q42)*(1-'3. Model 1 (In-House TDR)'!$G$15))-'3. Model 1 (In-House TDR)'!$D$26</f>
        <v/>
      </c>
      <c r="I42" s="111">
        <f>((((('3. Model 1 (In-House TDR)'!$G$7*$P42*12)+('3. Model 1 (In-House TDR)'!$G$10*12))*(1+'3. Model 1 (In-House TDR)'!$G$14)^INT((6-1)/2))*$Q42)*(1-'3. Model 1 (In-House TDR)'!$G$15))-'3. Model 1 (In-House TDR)'!$D$26</f>
        <v/>
      </c>
      <c r="J42" s="111">
        <f>((((('3. Model 1 (In-House TDR)'!$G$7*$P42*12)+('3. Model 1 (In-House TDR)'!$G$10*12))*(1+'3. Model 1 (In-House TDR)'!$G$14)^INT((7-1)/2))*$Q42)*(1-'3. Model 1 (In-House TDR)'!$G$15))-'3. Model 1 (In-House TDR)'!$D$26</f>
        <v/>
      </c>
      <c r="K42" s="111">
        <f>((((('3. Model 1 (In-House TDR)'!$G$7*$P42*12)+('3. Model 1 (In-House TDR)'!$G$10*12))*(1+'3. Model 1 (In-House TDR)'!$G$14)^INT((8-1)/2))*$Q42)*(1-'3. Model 1 (In-House TDR)'!$G$15))-'3. Model 1 (In-House TDR)'!$D$26</f>
        <v/>
      </c>
      <c r="L42" s="111">
        <f>((((('3. Model 1 (In-House TDR)'!$G$7*$P42*12)+('3. Model 1 (In-House TDR)'!$G$10*12))*(1+'3. Model 1 (In-House TDR)'!$G$14)^INT((9-1)/2))*$Q42)*(1-'3. Model 1 (In-House TDR)'!$G$15))-'3. Model 1 (In-House TDR)'!$D$26</f>
        <v/>
      </c>
      <c r="M42" s="111">
        <f>((((('3. Model 1 (In-House TDR)'!$G$7*$P42*12)+('3. Model 1 (In-House TDR)'!$G$10*12))*(1+'3. Model 1 (In-House TDR)'!$G$14)^INT((10-1)/2))*$Q42)*(1-'3. Model 1 (In-House TDR)'!$G$15))-'3. Model 1 (In-House TDR)'!$D$26</f>
        <v/>
      </c>
      <c r="N42" s="112">
        <f>IRR(C42:M42)</f>
        <v/>
      </c>
      <c r="P42" s="113" t="n">
        <v>22000</v>
      </c>
      <c r="Q42" s="114" t="n">
        <v>0.95</v>
      </c>
    </row>
    <row r="43" ht="14.25" customHeight="1" s="56">
      <c r="B43" s="109">
        <f>"Rent ₹"&amp;TEXT(P43,"#,##0")&amp;" @ "&amp;TEXT(Q43,"0%")&amp;" occ."</f>
        <v/>
      </c>
      <c r="C43" s="110">
        <f>-'3. Model 1 (In-House TDR)'!$C$13</f>
        <v/>
      </c>
      <c r="D43" s="111">
        <f>((((('3. Model 1 (In-House TDR)'!$G$7*$P43*12)+('3. Model 1 (In-House TDR)'!$G$10*12))*(1+'3. Model 1 (In-House TDR)'!$G$14)^INT((1-1)/2))*'3. Model 1 (In-House TDR)'!$G$12)*(1-'3. Model 1 (In-House TDR)'!$G$15))-'3. Model 1 (In-House TDR)'!$D$26</f>
        <v/>
      </c>
      <c r="E43" s="111">
        <f>((((('3. Model 1 (In-House TDR)'!$G$7*$P43*12)+('3. Model 1 (In-House TDR)'!$G$10*12))*(1+'3. Model 1 (In-House TDR)'!$G$14)^INT((2-1)/2))*$Q43)*(1-'3. Model 1 (In-House TDR)'!$G$15))-'3. Model 1 (In-House TDR)'!$D$26</f>
        <v/>
      </c>
      <c r="F43" s="111">
        <f>((((('3. Model 1 (In-House TDR)'!$G$7*$P43*12)+('3. Model 1 (In-House TDR)'!$G$10*12))*(1+'3. Model 1 (In-House TDR)'!$G$14)^INT((3-1)/2))*$Q43)*(1-'3. Model 1 (In-House TDR)'!$G$15))-'3. Model 1 (In-House TDR)'!$D$26</f>
        <v/>
      </c>
      <c r="G43" s="111">
        <f>((((('3. Model 1 (In-House TDR)'!$G$7*$P43*12)+('3. Model 1 (In-House TDR)'!$G$10*12))*(1+'3. Model 1 (In-House TDR)'!$G$14)^INT((4-1)/2))*$Q43)*(1-'3. Model 1 (In-House TDR)'!$G$15))-'3. Model 1 (In-House TDR)'!$D$26</f>
        <v/>
      </c>
      <c r="H43" s="111">
        <f>((((('3. Model 1 (In-House TDR)'!$G$7*$P43*12)+('3. Model 1 (In-House TDR)'!$G$10*12))*(1+'3. Model 1 (In-House TDR)'!$G$14)^INT((5-1)/2))*$Q43)*(1-'3. Model 1 (In-House TDR)'!$G$15))-'3. Model 1 (In-House TDR)'!$D$26</f>
        <v/>
      </c>
      <c r="I43" s="111">
        <f>((((('3. Model 1 (In-House TDR)'!$G$7*$P43*12)+('3. Model 1 (In-House TDR)'!$G$10*12))*(1+'3. Model 1 (In-House TDR)'!$G$14)^INT((6-1)/2))*$Q43)*(1-'3. Model 1 (In-House TDR)'!$G$15))-'3. Model 1 (In-House TDR)'!$D$26</f>
        <v/>
      </c>
      <c r="J43" s="111">
        <f>((((('3. Model 1 (In-House TDR)'!$G$7*$P43*12)+('3. Model 1 (In-House TDR)'!$G$10*12))*(1+'3. Model 1 (In-House TDR)'!$G$14)^INT((7-1)/2))*$Q43)*(1-'3. Model 1 (In-House TDR)'!$G$15))-'3. Model 1 (In-House TDR)'!$D$26</f>
        <v/>
      </c>
      <c r="K43" s="111">
        <f>((((('3. Model 1 (In-House TDR)'!$G$7*$P43*12)+('3. Model 1 (In-House TDR)'!$G$10*12))*(1+'3. Model 1 (In-House TDR)'!$G$14)^INT((8-1)/2))*$Q43)*(1-'3. Model 1 (In-House TDR)'!$G$15))-'3. Model 1 (In-House TDR)'!$D$26</f>
        <v/>
      </c>
      <c r="L43" s="111">
        <f>((((('3. Model 1 (In-House TDR)'!$G$7*$P43*12)+('3. Model 1 (In-House TDR)'!$G$10*12))*(1+'3. Model 1 (In-House TDR)'!$G$14)^INT((9-1)/2))*$Q43)*(1-'3. Model 1 (In-House TDR)'!$G$15))-'3. Model 1 (In-House TDR)'!$D$26</f>
        <v/>
      </c>
      <c r="M43" s="111">
        <f>((((('3. Model 1 (In-House TDR)'!$G$7*$P43*12)+('3. Model 1 (In-House TDR)'!$G$10*12))*(1+'3. Model 1 (In-House TDR)'!$G$14)^INT((10-1)/2))*$Q43)*(1-'3. Model 1 (In-House TDR)'!$G$15))-'3. Model 1 (In-House TDR)'!$D$26</f>
        <v/>
      </c>
      <c r="N43" s="112">
        <f>IRR(C43:M43)</f>
        <v/>
      </c>
      <c r="P43" s="113" t="n">
        <v>24000</v>
      </c>
      <c r="Q43" s="114" t="n">
        <v>0.8</v>
      </c>
    </row>
    <row r="44" ht="14.25" customHeight="1" s="56">
      <c r="B44" s="109">
        <f>"Rent ₹"&amp;TEXT(P44,"#,##0")&amp;" @ "&amp;TEXT(Q44,"0%")&amp;" occ."</f>
        <v/>
      </c>
      <c r="C44" s="110">
        <f>-'3. Model 1 (In-House TDR)'!$C$13</f>
        <v/>
      </c>
      <c r="D44" s="111">
        <f>((((('3. Model 1 (In-House TDR)'!$G$7*$P44*12)+('3. Model 1 (In-House TDR)'!$G$10*12))*(1+'3. Model 1 (In-House TDR)'!$G$14)^INT((1-1)/2))*'3. Model 1 (In-House TDR)'!$G$12)*(1-'3. Model 1 (In-House TDR)'!$G$15))-'3. Model 1 (In-House TDR)'!$D$26</f>
        <v/>
      </c>
      <c r="E44" s="111">
        <f>((((('3. Model 1 (In-House TDR)'!$G$7*$P44*12)+('3. Model 1 (In-House TDR)'!$G$10*12))*(1+'3. Model 1 (In-House TDR)'!$G$14)^INT((2-1)/2))*$Q44)*(1-'3. Model 1 (In-House TDR)'!$G$15))-'3. Model 1 (In-House TDR)'!$D$26</f>
        <v/>
      </c>
      <c r="F44" s="111">
        <f>((((('3. Model 1 (In-House TDR)'!$G$7*$P44*12)+('3. Model 1 (In-House TDR)'!$G$10*12))*(1+'3. Model 1 (In-House TDR)'!$G$14)^INT((3-1)/2))*$Q44)*(1-'3. Model 1 (In-House TDR)'!$G$15))-'3. Model 1 (In-House TDR)'!$D$26</f>
        <v/>
      </c>
      <c r="G44" s="111">
        <f>((((('3. Model 1 (In-House TDR)'!$G$7*$P44*12)+('3. Model 1 (In-House TDR)'!$G$10*12))*(1+'3. Model 1 (In-House TDR)'!$G$14)^INT((4-1)/2))*$Q44)*(1-'3. Model 1 (In-House TDR)'!$G$15))-'3. Model 1 (In-House TDR)'!$D$26</f>
        <v/>
      </c>
      <c r="H44" s="111">
        <f>((((('3. Model 1 (In-House TDR)'!$G$7*$P44*12)+('3. Model 1 (In-House TDR)'!$G$10*12))*(1+'3. Model 1 (In-House TDR)'!$G$14)^INT((5-1)/2))*$Q44)*(1-'3. Model 1 (In-House TDR)'!$G$15))-'3. Model 1 (In-House TDR)'!$D$26</f>
        <v/>
      </c>
      <c r="I44" s="111">
        <f>((((('3. Model 1 (In-House TDR)'!$G$7*$P44*12)+('3. Model 1 (In-House TDR)'!$G$10*12))*(1+'3. Model 1 (In-House TDR)'!$G$14)^INT((6-1)/2))*$Q44)*(1-'3. Model 1 (In-House TDR)'!$G$15))-'3. Model 1 (In-House TDR)'!$D$26</f>
        <v/>
      </c>
      <c r="J44" s="111">
        <f>((((('3. Model 1 (In-House TDR)'!$G$7*$P44*12)+('3. Model 1 (In-House TDR)'!$G$10*12))*(1+'3. Model 1 (In-House TDR)'!$G$14)^INT((7-1)/2))*$Q44)*(1-'3. Model 1 (In-House TDR)'!$G$15))-'3. Model 1 (In-House TDR)'!$D$26</f>
        <v/>
      </c>
      <c r="K44" s="111">
        <f>((((('3. Model 1 (In-House TDR)'!$G$7*$P44*12)+('3. Model 1 (In-House TDR)'!$G$10*12))*(1+'3. Model 1 (In-House TDR)'!$G$14)^INT((8-1)/2))*$Q44)*(1-'3. Model 1 (In-House TDR)'!$G$15))-'3. Model 1 (In-House TDR)'!$D$26</f>
        <v/>
      </c>
      <c r="L44" s="111">
        <f>((((('3. Model 1 (In-House TDR)'!$G$7*$P44*12)+('3. Model 1 (In-House TDR)'!$G$10*12))*(1+'3. Model 1 (In-House TDR)'!$G$14)^INT((9-1)/2))*$Q44)*(1-'3. Model 1 (In-House TDR)'!$G$15))-'3. Model 1 (In-House TDR)'!$D$26</f>
        <v/>
      </c>
      <c r="M44" s="111">
        <f>((((('3. Model 1 (In-House TDR)'!$G$7*$P44*12)+('3. Model 1 (In-House TDR)'!$G$10*12))*(1+'3. Model 1 (In-House TDR)'!$G$14)^INT((10-1)/2))*$Q44)*(1-'3. Model 1 (In-House TDR)'!$G$15))-'3. Model 1 (In-House TDR)'!$D$26</f>
        <v/>
      </c>
      <c r="N44" s="112">
        <f>IRR(C44:M44)</f>
        <v/>
      </c>
      <c r="P44" s="113" t="n">
        <v>24000</v>
      </c>
      <c r="Q44" s="114" t="n">
        <v>0.85</v>
      </c>
    </row>
    <row r="45" ht="14.25" customHeight="1" s="56">
      <c r="B45" s="109">
        <f>"Rent ₹"&amp;TEXT(P45,"#,##0")&amp;" @ "&amp;TEXT(Q45,"0%")&amp;" occ."</f>
        <v/>
      </c>
      <c r="C45" s="110">
        <f>-'3. Model 1 (In-House TDR)'!$C$13</f>
        <v/>
      </c>
      <c r="D45" s="111">
        <f>((((('3. Model 1 (In-House TDR)'!$G$7*$P45*12)+('3. Model 1 (In-House TDR)'!$G$10*12))*(1+'3. Model 1 (In-House TDR)'!$G$14)^INT((1-1)/2))*'3. Model 1 (In-House TDR)'!$G$12)*(1-'3. Model 1 (In-House TDR)'!$G$15))-'3. Model 1 (In-House TDR)'!$D$26</f>
        <v/>
      </c>
      <c r="E45" s="111">
        <f>((((('3. Model 1 (In-House TDR)'!$G$7*$P45*12)+('3. Model 1 (In-House TDR)'!$G$10*12))*(1+'3. Model 1 (In-House TDR)'!$G$14)^INT((2-1)/2))*$Q45)*(1-'3. Model 1 (In-House TDR)'!$G$15))-'3. Model 1 (In-House TDR)'!$D$26</f>
        <v/>
      </c>
      <c r="F45" s="111">
        <f>((((('3. Model 1 (In-House TDR)'!$G$7*$P45*12)+('3. Model 1 (In-House TDR)'!$G$10*12))*(1+'3. Model 1 (In-House TDR)'!$G$14)^INT((3-1)/2))*$Q45)*(1-'3. Model 1 (In-House TDR)'!$G$15))-'3. Model 1 (In-House TDR)'!$D$26</f>
        <v/>
      </c>
      <c r="G45" s="111">
        <f>((((('3. Model 1 (In-House TDR)'!$G$7*$P45*12)+('3. Model 1 (In-House TDR)'!$G$10*12))*(1+'3. Model 1 (In-House TDR)'!$G$14)^INT((4-1)/2))*$Q45)*(1-'3. Model 1 (In-House TDR)'!$G$15))-'3. Model 1 (In-House TDR)'!$D$26</f>
        <v/>
      </c>
      <c r="H45" s="111">
        <f>((((('3. Model 1 (In-House TDR)'!$G$7*$P45*12)+('3. Model 1 (In-House TDR)'!$G$10*12))*(1+'3. Model 1 (In-House TDR)'!$G$14)^INT((5-1)/2))*$Q45)*(1-'3. Model 1 (In-House TDR)'!$G$15))-'3. Model 1 (In-House TDR)'!$D$26</f>
        <v/>
      </c>
      <c r="I45" s="111">
        <f>((((('3. Model 1 (In-House TDR)'!$G$7*$P45*12)+('3. Model 1 (In-House TDR)'!$G$10*12))*(1+'3. Model 1 (In-House TDR)'!$G$14)^INT((6-1)/2))*$Q45)*(1-'3. Model 1 (In-House TDR)'!$G$15))-'3. Model 1 (In-House TDR)'!$D$26</f>
        <v/>
      </c>
      <c r="J45" s="111">
        <f>((((('3. Model 1 (In-House TDR)'!$G$7*$P45*12)+('3. Model 1 (In-House TDR)'!$G$10*12))*(1+'3. Model 1 (In-House TDR)'!$G$14)^INT((7-1)/2))*$Q45)*(1-'3. Model 1 (In-House TDR)'!$G$15))-'3. Model 1 (In-House TDR)'!$D$26</f>
        <v/>
      </c>
      <c r="K45" s="111">
        <f>((((('3. Model 1 (In-House TDR)'!$G$7*$P45*12)+('3. Model 1 (In-House TDR)'!$G$10*12))*(1+'3. Model 1 (In-House TDR)'!$G$14)^INT((8-1)/2))*$Q45)*(1-'3. Model 1 (In-House TDR)'!$G$15))-'3. Model 1 (In-House TDR)'!$D$26</f>
        <v/>
      </c>
      <c r="L45" s="111">
        <f>((((('3. Model 1 (In-House TDR)'!$G$7*$P45*12)+('3. Model 1 (In-House TDR)'!$G$10*12))*(1+'3. Model 1 (In-House TDR)'!$G$14)^INT((9-1)/2))*$Q45)*(1-'3. Model 1 (In-House TDR)'!$G$15))-'3. Model 1 (In-House TDR)'!$D$26</f>
        <v/>
      </c>
      <c r="M45" s="111">
        <f>((((('3. Model 1 (In-House TDR)'!$G$7*$P45*12)+('3. Model 1 (In-House TDR)'!$G$10*12))*(1+'3. Model 1 (In-House TDR)'!$G$14)^INT((10-1)/2))*$Q45)*(1-'3. Model 1 (In-House TDR)'!$G$15))-'3. Model 1 (In-House TDR)'!$D$26</f>
        <v/>
      </c>
      <c r="N45" s="112">
        <f>IRR(C45:M45)</f>
        <v/>
      </c>
      <c r="P45" s="113" t="n">
        <v>24000</v>
      </c>
      <c r="Q45" s="114" t="n">
        <v>0.9</v>
      </c>
    </row>
    <row r="46" ht="14.25" customHeight="1" s="56">
      <c r="B46" s="109">
        <f>"Rent ₹"&amp;TEXT(P46,"#,##0")&amp;" @ "&amp;TEXT(Q46,"0%")&amp;" occ."</f>
        <v/>
      </c>
      <c r="C46" s="110">
        <f>-'3. Model 1 (In-House TDR)'!$C$13</f>
        <v/>
      </c>
      <c r="D46" s="111">
        <f>((((('3. Model 1 (In-House TDR)'!$G$7*$P46*12)+('3. Model 1 (In-House TDR)'!$G$10*12))*(1+'3. Model 1 (In-House TDR)'!$G$14)^INT((1-1)/2))*'3. Model 1 (In-House TDR)'!$G$12)*(1-'3. Model 1 (In-House TDR)'!$G$15))-'3. Model 1 (In-House TDR)'!$D$26</f>
        <v/>
      </c>
      <c r="E46" s="111">
        <f>((((('3. Model 1 (In-House TDR)'!$G$7*$P46*12)+('3. Model 1 (In-House TDR)'!$G$10*12))*(1+'3. Model 1 (In-House TDR)'!$G$14)^INT((2-1)/2))*$Q46)*(1-'3. Model 1 (In-House TDR)'!$G$15))-'3. Model 1 (In-House TDR)'!$D$26</f>
        <v/>
      </c>
      <c r="F46" s="111">
        <f>((((('3. Model 1 (In-House TDR)'!$G$7*$P46*12)+('3. Model 1 (In-House TDR)'!$G$10*12))*(1+'3. Model 1 (In-House TDR)'!$G$14)^INT((3-1)/2))*$Q46)*(1-'3. Model 1 (In-House TDR)'!$G$15))-'3. Model 1 (In-House TDR)'!$D$26</f>
        <v/>
      </c>
      <c r="G46" s="111">
        <f>((((('3. Model 1 (In-House TDR)'!$G$7*$P46*12)+('3. Model 1 (In-House TDR)'!$G$10*12))*(1+'3. Model 1 (In-House TDR)'!$G$14)^INT((4-1)/2))*$Q46)*(1-'3. Model 1 (In-House TDR)'!$G$15))-'3. Model 1 (In-House TDR)'!$D$26</f>
        <v/>
      </c>
      <c r="H46" s="111">
        <f>((((('3. Model 1 (In-House TDR)'!$G$7*$P46*12)+('3. Model 1 (In-House TDR)'!$G$10*12))*(1+'3. Model 1 (In-House TDR)'!$G$14)^INT((5-1)/2))*$Q46)*(1-'3. Model 1 (In-House TDR)'!$G$15))-'3. Model 1 (In-House TDR)'!$D$26</f>
        <v/>
      </c>
      <c r="I46" s="111">
        <f>((((('3. Model 1 (In-House TDR)'!$G$7*$P46*12)+('3. Model 1 (In-House TDR)'!$G$10*12))*(1+'3. Model 1 (In-House TDR)'!$G$14)^INT((6-1)/2))*$Q46)*(1-'3. Model 1 (In-House TDR)'!$G$15))-'3. Model 1 (In-House TDR)'!$D$26</f>
        <v/>
      </c>
      <c r="J46" s="111">
        <f>((((('3. Model 1 (In-House TDR)'!$G$7*$P46*12)+('3. Model 1 (In-House TDR)'!$G$10*12))*(1+'3. Model 1 (In-House TDR)'!$G$14)^INT((7-1)/2))*$Q46)*(1-'3. Model 1 (In-House TDR)'!$G$15))-'3. Model 1 (In-House TDR)'!$D$26</f>
        <v/>
      </c>
      <c r="K46" s="111">
        <f>((((('3. Model 1 (In-House TDR)'!$G$7*$P46*12)+('3. Model 1 (In-House TDR)'!$G$10*12))*(1+'3. Model 1 (In-House TDR)'!$G$14)^INT((8-1)/2))*$Q46)*(1-'3. Model 1 (In-House TDR)'!$G$15))-'3. Model 1 (In-House TDR)'!$D$26</f>
        <v/>
      </c>
      <c r="L46" s="111">
        <f>((((('3. Model 1 (In-House TDR)'!$G$7*$P46*12)+('3. Model 1 (In-House TDR)'!$G$10*12))*(1+'3. Model 1 (In-House TDR)'!$G$14)^INT((9-1)/2))*$Q46)*(1-'3. Model 1 (In-House TDR)'!$G$15))-'3. Model 1 (In-House TDR)'!$D$26</f>
        <v/>
      </c>
      <c r="M46" s="111">
        <f>((((('3. Model 1 (In-House TDR)'!$G$7*$P46*12)+('3. Model 1 (In-House TDR)'!$G$10*12))*(1+'3. Model 1 (In-House TDR)'!$G$14)^INT((10-1)/2))*$Q46)*(1-'3. Model 1 (In-House TDR)'!$G$15))-'3. Model 1 (In-House TDR)'!$D$26</f>
        <v/>
      </c>
      <c r="N46" s="112">
        <f>IRR(C46:M46)</f>
        <v/>
      </c>
      <c r="P46" s="113" t="n">
        <v>24000</v>
      </c>
      <c r="Q46" s="114" t="n">
        <v>0.92</v>
      </c>
    </row>
    <row r="47" ht="14.25" customHeight="1" s="56">
      <c r="B47" s="109">
        <f>"Rent ₹"&amp;TEXT(P47,"#,##0")&amp;" @ "&amp;TEXT(Q47,"0%")&amp;" occ."</f>
        <v/>
      </c>
      <c r="C47" s="110">
        <f>-'3. Model 1 (In-House TDR)'!$C$13</f>
        <v/>
      </c>
      <c r="D47" s="111">
        <f>((((('3. Model 1 (In-House TDR)'!$G$7*$P47*12)+('3. Model 1 (In-House TDR)'!$G$10*12))*(1+'3. Model 1 (In-House TDR)'!$G$14)^INT((1-1)/2))*'3. Model 1 (In-House TDR)'!$G$12)*(1-'3. Model 1 (In-House TDR)'!$G$15))-'3. Model 1 (In-House TDR)'!$D$26</f>
        <v/>
      </c>
      <c r="E47" s="111">
        <f>((((('3. Model 1 (In-House TDR)'!$G$7*$P47*12)+('3. Model 1 (In-House TDR)'!$G$10*12))*(1+'3. Model 1 (In-House TDR)'!$G$14)^INT((2-1)/2))*$Q47)*(1-'3. Model 1 (In-House TDR)'!$G$15))-'3. Model 1 (In-House TDR)'!$D$26</f>
        <v/>
      </c>
      <c r="F47" s="111">
        <f>((((('3. Model 1 (In-House TDR)'!$G$7*$P47*12)+('3. Model 1 (In-House TDR)'!$G$10*12))*(1+'3. Model 1 (In-House TDR)'!$G$14)^INT((3-1)/2))*$Q47)*(1-'3. Model 1 (In-House TDR)'!$G$15))-'3. Model 1 (In-House TDR)'!$D$26</f>
        <v/>
      </c>
      <c r="G47" s="111">
        <f>((((('3. Model 1 (In-House TDR)'!$G$7*$P47*12)+('3. Model 1 (In-House TDR)'!$G$10*12))*(1+'3. Model 1 (In-House TDR)'!$G$14)^INT((4-1)/2))*$Q47)*(1-'3. Model 1 (In-House TDR)'!$G$15))-'3. Model 1 (In-House TDR)'!$D$26</f>
        <v/>
      </c>
      <c r="H47" s="111">
        <f>((((('3. Model 1 (In-House TDR)'!$G$7*$P47*12)+('3. Model 1 (In-House TDR)'!$G$10*12))*(1+'3. Model 1 (In-House TDR)'!$G$14)^INT((5-1)/2))*$Q47)*(1-'3. Model 1 (In-House TDR)'!$G$15))-'3. Model 1 (In-House TDR)'!$D$26</f>
        <v/>
      </c>
      <c r="I47" s="111">
        <f>((((('3. Model 1 (In-House TDR)'!$G$7*$P47*12)+('3. Model 1 (In-House TDR)'!$G$10*12))*(1+'3. Model 1 (In-House TDR)'!$G$14)^INT((6-1)/2))*$Q47)*(1-'3. Model 1 (In-House TDR)'!$G$15))-'3. Model 1 (In-House TDR)'!$D$26</f>
        <v/>
      </c>
      <c r="J47" s="111">
        <f>((((('3. Model 1 (In-House TDR)'!$G$7*$P47*12)+('3. Model 1 (In-House TDR)'!$G$10*12))*(1+'3. Model 1 (In-House TDR)'!$G$14)^INT((7-1)/2))*$Q47)*(1-'3. Model 1 (In-House TDR)'!$G$15))-'3. Model 1 (In-House TDR)'!$D$26</f>
        <v/>
      </c>
      <c r="K47" s="111">
        <f>((((('3. Model 1 (In-House TDR)'!$G$7*$P47*12)+('3. Model 1 (In-House TDR)'!$G$10*12))*(1+'3. Model 1 (In-House TDR)'!$G$14)^INT((8-1)/2))*$Q47)*(1-'3. Model 1 (In-House TDR)'!$G$15))-'3. Model 1 (In-House TDR)'!$D$26</f>
        <v/>
      </c>
      <c r="L47" s="111">
        <f>((((('3. Model 1 (In-House TDR)'!$G$7*$P47*12)+('3. Model 1 (In-House TDR)'!$G$10*12))*(1+'3. Model 1 (In-House TDR)'!$G$14)^INT((9-1)/2))*$Q47)*(1-'3. Model 1 (In-House TDR)'!$G$15))-'3. Model 1 (In-House TDR)'!$D$26</f>
        <v/>
      </c>
      <c r="M47" s="111">
        <f>((((('3. Model 1 (In-House TDR)'!$G$7*$P47*12)+('3. Model 1 (In-House TDR)'!$G$10*12))*(1+'3. Model 1 (In-House TDR)'!$G$14)^INT((10-1)/2))*$Q47)*(1-'3. Model 1 (In-House TDR)'!$G$15))-'3. Model 1 (In-House TDR)'!$D$26</f>
        <v/>
      </c>
      <c r="N47" s="112">
        <f>IRR(C47:M47)</f>
        <v/>
      </c>
      <c r="P47" s="113" t="n">
        <v>24000</v>
      </c>
      <c r="Q47" s="114" t="n">
        <v>0.95</v>
      </c>
    </row>
    <row r="48" ht="14.25" customHeight="1" s="56">
      <c r="B48" s="109">
        <f>"Rent ₹"&amp;TEXT(P48,"#,##0")&amp;" @ "&amp;TEXT(Q48,"0%")&amp;" occ."</f>
        <v/>
      </c>
      <c r="C48" s="110">
        <f>-'3. Model 1 (In-House TDR)'!$C$13</f>
        <v/>
      </c>
      <c r="D48" s="111">
        <f>((((('3. Model 1 (In-House TDR)'!$G$7*$P48*12)+('3. Model 1 (In-House TDR)'!$G$10*12))*(1+'3. Model 1 (In-House TDR)'!$G$14)^INT((1-1)/2))*'3. Model 1 (In-House TDR)'!$G$12)*(1-'3. Model 1 (In-House TDR)'!$G$15))-'3. Model 1 (In-House TDR)'!$D$26</f>
        <v/>
      </c>
      <c r="E48" s="111">
        <f>((((('3. Model 1 (In-House TDR)'!$G$7*$P48*12)+('3. Model 1 (In-House TDR)'!$G$10*12))*(1+'3. Model 1 (In-House TDR)'!$G$14)^INT((2-1)/2))*$Q48)*(1-'3. Model 1 (In-House TDR)'!$G$15))-'3. Model 1 (In-House TDR)'!$D$26</f>
        <v/>
      </c>
      <c r="F48" s="111">
        <f>((((('3. Model 1 (In-House TDR)'!$G$7*$P48*12)+('3. Model 1 (In-House TDR)'!$G$10*12))*(1+'3. Model 1 (In-House TDR)'!$G$14)^INT((3-1)/2))*$Q48)*(1-'3. Model 1 (In-House TDR)'!$G$15))-'3. Model 1 (In-House TDR)'!$D$26</f>
        <v/>
      </c>
      <c r="G48" s="111">
        <f>((((('3. Model 1 (In-House TDR)'!$G$7*$P48*12)+('3. Model 1 (In-House TDR)'!$G$10*12))*(1+'3. Model 1 (In-House TDR)'!$G$14)^INT((4-1)/2))*$Q48)*(1-'3. Model 1 (In-House TDR)'!$G$15))-'3. Model 1 (In-House TDR)'!$D$26</f>
        <v/>
      </c>
      <c r="H48" s="111">
        <f>((((('3. Model 1 (In-House TDR)'!$G$7*$P48*12)+('3. Model 1 (In-House TDR)'!$G$10*12))*(1+'3. Model 1 (In-House TDR)'!$G$14)^INT((5-1)/2))*$Q48)*(1-'3. Model 1 (In-House TDR)'!$G$15))-'3. Model 1 (In-House TDR)'!$D$26</f>
        <v/>
      </c>
      <c r="I48" s="111">
        <f>((((('3. Model 1 (In-House TDR)'!$G$7*$P48*12)+('3. Model 1 (In-House TDR)'!$G$10*12))*(1+'3. Model 1 (In-House TDR)'!$G$14)^INT((6-1)/2))*$Q48)*(1-'3. Model 1 (In-House TDR)'!$G$15))-'3. Model 1 (In-House TDR)'!$D$26</f>
        <v/>
      </c>
      <c r="J48" s="111">
        <f>((((('3. Model 1 (In-House TDR)'!$G$7*$P48*12)+('3. Model 1 (In-House TDR)'!$G$10*12))*(1+'3. Model 1 (In-House TDR)'!$G$14)^INT((7-1)/2))*$Q48)*(1-'3. Model 1 (In-House TDR)'!$G$15))-'3. Model 1 (In-House TDR)'!$D$26</f>
        <v/>
      </c>
      <c r="K48" s="111">
        <f>((((('3. Model 1 (In-House TDR)'!$G$7*$P48*12)+('3. Model 1 (In-House TDR)'!$G$10*12))*(1+'3. Model 1 (In-House TDR)'!$G$14)^INT((8-1)/2))*$Q48)*(1-'3. Model 1 (In-House TDR)'!$G$15))-'3. Model 1 (In-House TDR)'!$D$26</f>
        <v/>
      </c>
      <c r="L48" s="111">
        <f>((((('3. Model 1 (In-House TDR)'!$G$7*$P48*12)+('3. Model 1 (In-House TDR)'!$G$10*12))*(1+'3. Model 1 (In-House TDR)'!$G$14)^INT((9-1)/2))*$Q48)*(1-'3. Model 1 (In-House TDR)'!$G$15))-'3. Model 1 (In-House TDR)'!$D$26</f>
        <v/>
      </c>
      <c r="M48" s="111">
        <f>((((('3. Model 1 (In-House TDR)'!$G$7*$P48*12)+('3. Model 1 (In-House TDR)'!$G$10*12))*(1+'3. Model 1 (In-House TDR)'!$G$14)^INT((10-1)/2))*$Q48)*(1-'3. Model 1 (In-House TDR)'!$G$15))-'3. Model 1 (In-House TDR)'!$D$26</f>
        <v/>
      </c>
      <c r="N48" s="112">
        <f>IRR(C48:M48)</f>
        <v/>
      </c>
      <c r="P48" s="113" t="n">
        <v>26000</v>
      </c>
      <c r="Q48" s="114" t="n">
        <v>0.8</v>
      </c>
    </row>
    <row r="49" ht="14.25" customHeight="1" s="56">
      <c r="B49" s="109">
        <f>"Rent ₹"&amp;TEXT(P49,"#,##0")&amp;" @ "&amp;TEXT(Q49,"0%")&amp;" occ."</f>
        <v/>
      </c>
      <c r="C49" s="110">
        <f>-'3. Model 1 (In-House TDR)'!$C$13</f>
        <v/>
      </c>
      <c r="D49" s="111">
        <f>((((('3. Model 1 (In-House TDR)'!$G$7*$P49*12)+('3. Model 1 (In-House TDR)'!$G$10*12))*(1+'3. Model 1 (In-House TDR)'!$G$14)^INT((1-1)/2))*'3. Model 1 (In-House TDR)'!$G$12)*(1-'3. Model 1 (In-House TDR)'!$G$15))-'3. Model 1 (In-House TDR)'!$D$26</f>
        <v/>
      </c>
      <c r="E49" s="111">
        <f>((((('3. Model 1 (In-House TDR)'!$G$7*$P49*12)+('3. Model 1 (In-House TDR)'!$G$10*12))*(1+'3. Model 1 (In-House TDR)'!$G$14)^INT((2-1)/2))*$Q49)*(1-'3. Model 1 (In-House TDR)'!$G$15))-'3. Model 1 (In-House TDR)'!$D$26</f>
        <v/>
      </c>
      <c r="F49" s="111">
        <f>((((('3. Model 1 (In-House TDR)'!$G$7*$P49*12)+('3. Model 1 (In-House TDR)'!$G$10*12))*(1+'3. Model 1 (In-House TDR)'!$G$14)^INT((3-1)/2))*$Q49)*(1-'3. Model 1 (In-House TDR)'!$G$15))-'3. Model 1 (In-House TDR)'!$D$26</f>
        <v/>
      </c>
      <c r="G49" s="111">
        <f>((((('3. Model 1 (In-House TDR)'!$G$7*$P49*12)+('3. Model 1 (In-House TDR)'!$G$10*12))*(1+'3. Model 1 (In-House TDR)'!$G$14)^INT((4-1)/2))*$Q49)*(1-'3. Model 1 (In-House TDR)'!$G$15))-'3. Model 1 (In-House TDR)'!$D$26</f>
        <v/>
      </c>
      <c r="H49" s="111">
        <f>((((('3. Model 1 (In-House TDR)'!$G$7*$P49*12)+('3. Model 1 (In-House TDR)'!$G$10*12))*(1+'3. Model 1 (In-House TDR)'!$G$14)^INT((5-1)/2))*$Q49)*(1-'3. Model 1 (In-House TDR)'!$G$15))-'3. Model 1 (In-House TDR)'!$D$26</f>
        <v/>
      </c>
      <c r="I49" s="111">
        <f>((((('3. Model 1 (In-House TDR)'!$G$7*$P49*12)+('3. Model 1 (In-House TDR)'!$G$10*12))*(1+'3. Model 1 (In-House TDR)'!$G$14)^INT((6-1)/2))*$Q49)*(1-'3. Model 1 (In-House TDR)'!$G$15))-'3. Model 1 (In-House TDR)'!$D$26</f>
        <v/>
      </c>
      <c r="J49" s="111">
        <f>((((('3. Model 1 (In-House TDR)'!$G$7*$P49*12)+('3. Model 1 (In-House TDR)'!$G$10*12))*(1+'3. Model 1 (In-House TDR)'!$G$14)^INT((7-1)/2))*$Q49)*(1-'3. Model 1 (In-House TDR)'!$G$15))-'3. Model 1 (In-House TDR)'!$D$26</f>
        <v/>
      </c>
      <c r="K49" s="111">
        <f>((((('3. Model 1 (In-House TDR)'!$G$7*$P49*12)+('3. Model 1 (In-House TDR)'!$G$10*12))*(1+'3. Model 1 (In-House TDR)'!$G$14)^INT((8-1)/2))*$Q49)*(1-'3. Model 1 (In-House TDR)'!$G$15))-'3. Model 1 (In-House TDR)'!$D$26</f>
        <v/>
      </c>
      <c r="L49" s="111">
        <f>((((('3. Model 1 (In-House TDR)'!$G$7*$P49*12)+('3. Model 1 (In-House TDR)'!$G$10*12))*(1+'3. Model 1 (In-House TDR)'!$G$14)^INT((9-1)/2))*$Q49)*(1-'3. Model 1 (In-House TDR)'!$G$15))-'3. Model 1 (In-House TDR)'!$D$26</f>
        <v/>
      </c>
      <c r="M49" s="111">
        <f>((((('3. Model 1 (In-House TDR)'!$G$7*$P49*12)+('3. Model 1 (In-House TDR)'!$G$10*12))*(1+'3. Model 1 (In-House TDR)'!$G$14)^INT((10-1)/2))*$Q49)*(1-'3. Model 1 (In-House TDR)'!$G$15))-'3. Model 1 (In-House TDR)'!$D$26</f>
        <v/>
      </c>
      <c r="N49" s="112">
        <f>IRR(C49:M49)</f>
        <v/>
      </c>
      <c r="P49" s="113" t="n">
        <v>26000</v>
      </c>
      <c r="Q49" s="114" t="n">
        <v>0.85</v>
      </c>
    </row>
    <row r="50" ht="14.25" customHeight="1" s="56">
      <c r="B50" s="109">
        <f>"Rent ₹"&amp;TEXT(P50,"#,##0")&amp;" @ "&amp;TEXT(Q50,"0%")&amp;" occ."</f>
        <v/>
      </c>
      <c r="C50" s="110">
        <f>-'3. Model 1 (In-House TDR)'!$C$13</f>
        <v/>
      </c>
      <c r="D50" s="111">
        <f>((((('3. Model 1 (In-House TDR)'!$G$7*$P50*12)+('3. Model 1 (In-House TDR)'!$G$10*12))*(1+'3. Model 1 (In-House TDR)'!$G$14)^INT((1-1)/2))*'3. Model 1 (In-House TDR)'!$G$12)*(1-'3. Model 1 (In-House TDR)'!$G$15))-'3. Model 1 (In-House TDR)'!$D$26</f>
        <v/>
      </c>
      <c r="E50" s="111">
        <f>((((('3. Model 1 (In-House TDR)'!$G$7*$P50*12)+('3. Model 1 (In-House TDR)'!$G$10*12))*(1+'3. Model 1 (In-House TDR)'!$G$14)^INT((2-1)/2))*$Q50)*(1-'3. Model 1 (In-House TDR)'!$G$15))-'3. Model 1 (In-House TDR)'!$D$26</f>
        <v/>
      </c>
      <c r="F50" s="111">
        <f>((((('3. Model 1 (In-House TDR)'!$G$7*$P50*12)+('3. Model 1 (In-House TDR)'!$G$10*12))*(1+'3. Model 1 (In-House TDR)'!$G$14)^INT((3-1)/2))*$Q50)*(1-'3. Model 1 (In-House TDR)'!$G$15))-'3. Model 1 (In-House TDR)'!$D$26</f>
        <v/>
      </c>
      <c r="G50" s="111">
        <f>((((('3. Model 1 (In-House TDR)'!$G$7*$P50*12)+('3. Model 1 (In-House TDR)'!$G$10*12))*(1+'3. Model 1 (In-House TDR)'!$G$14)^INT((4-1)/2))*$Q50)*(1-'3. Model 1 (In-House TDR)'!$G$15))-'3. Model 1 (In-House TDR)'!$D$26</f>
        <v/>
      </c>
      <c r="H50" s="111">
        <f>((((('3. Model 1 (In-House TDR)'!$G$7*$P50*12)+('3. Model 1 (In-House TDR)'!$G$10*12))*(1+'3. Model 1 (In-House TDR)'!$G$14)^INT((5-1)/2))*$Q50)*(1-'3. Model 1 (In-House TDR)'!$G$15))-'3. Model 1 (In-House TDR)'!$D$26</f>
        <v/>
      </c>
      <c r="I50" s="111">
        <f>((((('3. Model 1 (In-House TDR)'!$G$7*$P50*12)+('3. Model 1 (In-House TDR)'!$G$10*12))*(1+'3. Model 1 (In-House TDR)'!$G$14)^INT((6-1)/2))*$Q50)*(1-'3. Model 1 (In-House TDR)'!$G$15))-'3. Model 1 (In-House TDR)'!$D$26</f>
        <v/>
      </c>
      <c r="J50" s="111">
        <f>((((('3. Model 1 (In-House TDR)'!$G$7*$P50*12)+('3. Model 1 (In-House TDR)'!$G$10*12))*(1+'3. Model 1 (In-House TDR)'!$G$14)^INT((7-1)/2))*$Q50)*(1-'3. Model 1 (In-House TDR)'!$G$15))-'3. Model 1 (In-House TDR)'!$D$26</f>
        <v/>
      </c>
      <c r="K50" s="111">
        <f>((((('3. Model 1 (In-House TDR)'!$G$7*$P50*12)+('3. Model 1 (In-House TDR)'!$G$10*12))*(1+'3. Model 1 (In-House TDR)'!$G$14)^INT((8-1)/2))*$Q50)*(1-'3. Model 1 (In-House TDR)'!$G$15))-'3. Model 1 (In-House TDR)'!$D$26</f>
        <v/>
      </c>
      <c r="L50" s="111">
        <f>((((('3. Model 1 (In-House TDR)'!$G$7*$P50*12)+('3. Model 1 (In-House TDR)'!$G$10*12))*(1+'3. Model 1 (In-House TDR)'!$G$14)^INT((9-1)/2))*$Q50)*(1-'3. Model 1 (In-House TDR)'!$G$15))-'3. Model 1 (In-House TDR)'!$D$26</f>
        <v/>
      </c>
      <c r="M50" s="111">
        <f>((((('3. Model 1 (In-House TDR)'!$G$7*$P50*12)+('3. Model 1 (In-House TDR)'!$G$10*12))*(1+'3. Model 1 (In-House TDR)'!$G$14)^INT((10-1)/2))*$Q50)*(1-'3. Model 1 (In-House TDR)'!$G$15))-'3. Model 1 (In-House TDR)'!$D$26</f>
        <v/>
      </c>
      <c r="N50" s="112">
        <f>IRR(C50:M50)</f>
        <v/>
      </c>
      <c r="P50" s="113" t="n">
        <v>26000</v>
      </c>
      <c r="Q50" s="114" t="n">
        <v>0.9</v>
      </c>
    </row>
    <row r="51" ht="14.25" customHeight="1" s="56">
      <c r="B51" s="109">
        <f>"Rent ₹"&amp;TEXT(P51,"#,##0")&amp;" @ "&amp;TEXT(Q51,"0%")&amp;" occ."</f>
        <v/>
      </c>
      <c r="C51" s="110">
        <f>-'3. Model 1 (In-House TDR)'!$C$13</f>
        <v/>
      </c>
      <c r="D51" s="111">
        <f>((((('3. Model 1 (In-House TDR)'!$G$7*$P51*12)+('3. Model 1 (In-House TDR)'!$G$10*12))*(1+'3. Model 1 (In-House TDR)'!$G$14)^INT((1-1)/2))*'3. Model 1 (In-House TDR)'!$G$12)*(1-'3. Model 1 (In-House TDR)'!$G$15))-'3. Model 1 (In-House TDR)'!$D$26</f>
        <v/>
      </c>
      <c r="E51" s="111">
        <f>((((('3. Model 1 (In-House TDR)'!$G$7*$P51*12)+('3. Model 1 (In-House TDR)'!$G$10*12))*(1+'3. Model 1 (In-House TDR)'!$G$14)^INT((2-1)/2))*$Q51)*(1-'3. Model 1 (In-House TDR)'!$G$15))-'3. Model 1 (In-House TDR)'!$D$26</f>
        <v/>
      </c>
      <c r="F51" s="111">
        <f>((((('3. Model 1 (In-House TDR)'!$G$7*$P51*12)+('3. Model 1 (In-House TDR)'!$G$10*12))*(1+'3. Model 1 (In-House TDR)'!$G$14)^INT((3-1)/2))*$Q51)*(1-'3. Model 1 (In-House TDR)'!$G$15))-'3. Model 1 (In-House TDR)'!$D$26</f>
        <v/>
      </c>
      <c r="G51" s="111">
        <f>((((('3. Model 1 (In-House TDR)'!$G$7*$P51*12)+('3. Model 1 (In-House TDR)'!$G$10*12))*(1+'3. Model 1 (In-House TDR)'!$G$14)^INT((4-1)/2))*$Q51)*(1-'3. Model 1 (In-House TDR)'!$G$15))-'3. Model 1 (In-House TDR)'!$D$26</f>
        <v/>
      </c>
      <c r="H51" s="111">
        <f>((((('3. Model 1 (In-House TDR)'!$G$7*$P51*12)+('3. Model 1 (In-House TDR)'!$G$10*12))*(1+'3. Model 1 (In-House TDR)'!$G$14)^INT((5-1)/2))*$Q51)*(1-'3. Model 1 (In-House TDR)'!$G$15))-'3. Model 1 (In-House TDR)'!$D$26</f>
        <v/>
      </c>
      <c r="I51" s="111">
        <f>((((('3. Model 1 (In-House TDR)'!$G$7*$P51*12)+('3. Model 1 (In-House TDR)'!$G$10*12))*(1+'3. Model 1 (In-House TDR)'!$G$14)^INT((6-1)/2))*$Q51)*(1-'3. Model 1 (In-House TDR)'!$G$15))-'3. Model 1 (In-House TDR)'!$D$26</f>
        <v/>
      </c>
      <c r="J51" s="111">
        <f>((((('3. Model 1 (In-House TDR)'!$G$7*$P51*12)+('3. Model 1 (In-House TDR)'!$G$10*12))*(1+'3. Model 1 (In-House TDR)'!$G$14)^INT((7-1)/2))*$Q51)*(1-'3. Model 1 (In-House TDR)'!$G$15))-'3. Model 1 (In-House TDR)'!$D$26</f>
        <v/>
      </c>
      <c r="K51" s="111">
        <f>((((('3. Model 1 (In-House TDR)'!$G$7*$P51*12)+('3. Model 1 (In-House TDR)'!$G$10*12))*(1+'3. Model 1 (In-House TDR)'!$G$14)^INT((8-1)/2))*$Q51)*(1-'3. Model 1 (In-House TDR)'!$G$15))-'3. Model 1 (In-House TDR)'!$D$26</f>
        <v/>
      </c>
      <c r="L51" s="111">
        <f>((((('3. Model 1 (In-House TDR)'!$G$7*$P51*12)+('3. Model 1 (In-House TDR)'!$G$10*12))*(1+'3. Model 1 (In-House TDR)'!$G$14)^INT((9-1)/2))*$Q51)*(1-'3. Model 1 (In-House TDR)'!$G$15))-'3. Model 1 (In-House TDR)'!$D$26</f>
        <v/>
      </c>
      <c r="M51" s="111">
        <f>((((('3. Model 1 (In-House TDR)'!$G$7*$P51*12)+('3. Model 1 (In-House TDR)'!$G$10*12))*(1+'3. Model 1 (In-House TDR)'!$G$14)^INT((10-1)/2))*$Q51)*(1-'3. Model 1 (In-House TDR)'!$G$15))-'3. Model 1 (In-House TDR)'!$D$26</f>
        <v/>
      </c>
      <c r="N51" s="112">
        <f>IRR(C51:M51)</f>
        <v/>
      </c>
      <c r="P51" s="113" t="n">
        <v>26000</v>
      </c>
      <c r="Q51" s="114" t="n">
        <v>0.92</v>
      </c>
    </row>
    <row r="52" ht="14.25" customHeight="1" s="56">
      <c r="B52" s="109">
        <f>"Rent ₹"&amp;TEXT(P52,"#,##0")&amp;" @ "&amp;TEXT(Q52,"0%")&amp;" occ."</f>
        <v/>
      </c>
      <c r="C52" s="110">
        <f>-'3. Model 1 (In-House TDR)'!$C$13</f>
        <v/>
      </c>
      <c r="D52" s="111">
        <f>((((('3. Model 1 (In-House TDR)'!$G$7*$P52*12)+('3. Model 1 (In-House TDR)'!$G$10*12))*(1+'3. Model 1 (In-House TDR)'!$G$14)^INT((1-1)/2))*'3. Model 1 (In-House TDR)'!$G$12)*(1-'3. Model 1 (In-House TDR)'!$G$15))-'3. Model 1 (In-House TDR)'!$D$26</f>
        <v/>
      </c>
      <c r="E52" s="111">
        <f>((((('3. Model 1 (In-House TDR)'!$G$7*$P52*12)+('3. Model 1 (In-House TDR)'!$G$10*12))*(1+'3. Model 1 (In-House TDR)'!$G$14)^INT((2-1)/2))*$Q52)*(1-'3. Model 1 (In-House TDR)'!$G$15))-'3. Model 1 (In-House TDR)'!$D$26</f>
        <v/>
      </c>
      <c r="F52" s="111">
        <f>((((('3. Model 1 (In-House TDR)'!$G$7*$P52*12)+('3. Model 1 (In-House TDR)'!$G$10*12))*(1+'3. Model 1 (In-House TDR)'!$G$14)^INT((3-1)/2))*$Q52)*(1-'3. Model 1 (In-House TDR)'!$G$15))-'3. Model 1 (In-House TDR)'!$D$26</f>
        <v/>
      </c>
      <c r="G52" s="111">
        <f>((((('3. Model 1 (In-House TDR)'!$G$7*$P52*12)+('3. Model 1 (In-House TDR)'!$G$10*12))*(1+'3. Model 1 (In-House TDR)'!$G$14)^INT((4-1)/2))*$Q52)*(1-'3. Model 1 (In-House TDR)'!$G$15))-'3. Model 1 (In-House TDR)'!$D$26</f>
        <v/>
      </c>
      <c r="H52" s="111">
        <f>((((('3. Model 1 (In-House TDR)'!$G$7*$P52*12)+('3. Model 1 (In-House TDR)'!$G$10*12))*(1+'3. Model 1 (In-House TDR)'!$G$14)^INT((5-1)/2))*$Q52)*(1-'3. Model 1 (In-House TDR)'!$G$15))-'3. Model 1 (In-House TDR)'!$D$26</f>
        <v/>
      </c>
      <c r="I52" s="111">
        <f>((((('3. Model 1 (In-House TDR)'!$G$7*$P52*12)+('3. Model 1 (In-House TDR)'!$G$10*12))*(1+'3. Model 1 (In-House TDR)'!$G$14)^INT((6-1)/2))*$Q52)*(1-'3. Model 1 (In-House TDR)'!$G$15))-'3. Model 1 (In-House TDR)'!$D$26</f>
        <v/>
      </c>
      <c r="J52" s="111">
        <f>((((('3. Model 1 (In-House TDR)'!$G$7*$P52*12)+('3. Model 1 (In-House TDR)'!$G$10*12))*(1+'3. Model 1 (In-House TDR)'!$G$14)^INT((7-1)/2))*$Q52)*(1-'3. Model 1 (In-House TDR)'!$G$15))-'3. Model 1 (In-House TDR)'!$D$26</f>
        <v/>
      </c>
      <c r="K52" s="111">
        <f>((((('3. Model 1 (In-House TDR)'!$G$7*$P52*12)+('3. Model 1 (In-House TDR)'!$G$10*12))*(1+'3. Model 1 (In-House TDR)'!$G$14)^INT((8-1)/2))*$Q52)*(1-'3. Model 1 (In-House TDR)'!$G$15))-'3. Model 1 (In-House TDR)'!$D$26</f>
        <v/>
      </c>
      <c r="L52" s="111">
        <f>((((('3. Model 1 (In-House TDR)'!$G$7*$P52*12)+('3. Model 1 (In-House TDR)'!$G$10*12))*(1+'3. Model 1 (In-House TDR)'!$G$14)^INT((9-1)/2))*$Q52)*(1-'3. Model 1 (In-House TDR)'!$G$15))-'3. Model 1 (In-House TDR)'!$D$26</f>
        <v/>
      </c>
      <c r="M52" s="111">
        <f>((((('3. Model 1 (In-House TDR)'!$G$7*$P52*12)+('3. Model 1 (In-House TDR)'!$G$10*12))*(1+'3. Model 1 (In-House TDR)'!$G$14)^INT((10-1)/2))*$Q52)*(1-'3. Model 1 (In-House TDR)'!$G$15))-'3. Model 1 (In-House TDR)'!$D$26</f>
        <v/>
      </c>
      <c r="N52" s="112">
        <f>IRR(C52:M52)</f>
        <v/>
      </c>
      <c r="P52" s="113" t="n">
        <v>26000</v>
      </c>
      <c r="Q52" s="114" t="n">
        <v>0.95</v>
      </c>
    </row>
    <row r="53" ht="14.25" customHeight="1" s="56">
      <c r="B53" s="115" t="inlineStr">
        <is>
          <t>Engine rebuilt during audit: full cash-flow reconstruction per scenario, not a linear scaling of a single base-case IRR (which the original file did and which is not valid since OpEx and debt service are not proportional to revenue).</t>
        </is>
      </c>
    </row>
  </sheetData>
  <mergeCells count="3">
    <mergeCell ref="B53:N53"/>
    <mergeCell ref="B17:G17"/>
    <mergeCell ref="B5:E5"/>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2026-08-24T07:05:46Z</dcterms:created>
  <dcterms:modified xmlns:dcterms="http://purl.org/dc/terms/" xmlns:xsi="http://www.w3.org/2001/XMLSchema-instance" xsi:type="dcterms:W3CDTF">2026-09-12T08:06:39Z</dcterms:modified>
  <cp:revision>1</cp:revision>
</cp:coreProperties>
</file>